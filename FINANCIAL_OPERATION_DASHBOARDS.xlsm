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971b915a749257f/Desktop/financial_operation/"/>
    </mc:Choice>
  </mc:AlternateContent>
  <xr:revisionPtr revIDLastSave="3297" documentId="8_{6FD41906-D271-4117-A388-055C224DCE93}" xr6:coauthVersionLast="47" xr6:coauthVersionMax="47" xr10:uidLastSave="{0397A552-B069-4A78-901E-9D8B7908DBB8}"/>
  <bookViews>
    <workbookView xWindow="-1860" yWindow="-16320" windowWidth="29040" windowHeight="15720" activeTab="1" xr2:uid="{59CC716D-42DD-421C-880C-557A9277ECC5}"/>
  </bookViews>
  <sheets>
    <sheet name="Fluxo de Caixa" sheetId="1" r:id="rId1"/>
    <sheet name="Insights" sheetId="2" r:id="rId2"/>
  </sheets>
  <definedNames>
    <definedName name="_xlnm._FilterDatabase" localSheetId="0" hidden="1">'Fluxo de Caixa'!$C$24:$H$24</definedName>
    <definedName name="SegmentaçãodeDados_Anos__MÊS">#N/A</definedName>
    <definedName name="SegmentaçãodeDados_Data_Realização">#N/A</definedName>
  </definedNames>
  <calcPr calcId="191029"/>
  <pivotCaches>
    <pivotCache cacheId="6" r:id="rId3"/>
    <pivotCache cacheId="22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2" l="1"/>
  <c r="E31" i="2"/>
  <c r="E32" i="2"/>
  <c r="E33" i="2"/>
  <c r="E34" i="2"/>
  <c r="E35" i="2"/>
  <c r="E36" i="2"/>
  <c r="E37" i="2"/>
  <c r="E38" i="2"/>
  <c r="E39" i="2"/>
  <c r="E40" i="2"/>
  <c r="E41" i="2"/>
  <c r="D30" i="2"/>
  <c r="D31" i="2"/>
  <c r="D32" i="2"/>
  <c r="D33" i="2"/>
  <c r="D34" i="2"/>
  <c r="D35" i="2"/>
  <c r="D36" i="2"/>
  <c r="D37" i="2"/>
  <c r="D38" i="2"/>
  <c r="D39" i="2"/>
  <c r="D40" i="2"/>
  <c r="D41" i="2"/>
  <c r="C30" i="2"/>
  <c r="C31" i="2"/>
  <c r="C32" i="2"/>
  <c r="C33" i="2"/>
  <c r="C34" i="2"/>
  <c r="C35" i="2"/>
  <c r="C36" i="2"/>
  <c r="C37" i="2"/>
  <c r="C38" i="2"/>
  <c r="C39" i="2"/>
  <c r="C40" i="2"/>
  <c r="C41" i="2"/>
  <c r="O28" i="1"/>
  <c r="O26" i="1"/>
  <c r="D18" i="2"/>
  <c r="D19" i="2"/>
  <c r="D20" i="2"/>
  <c r="D21" i="2"/>
  <c r="D22" i="2"/>
  <c r="D23" i="2"/>
  <c r="D24" i="2"/>
  <c r="D25" i="2"/>
  <c r="D26" i="2"/>
  <c r="D27" i="2"/>
  <c r="D28" i="2"/>
  <c r="D29" i="2"/>
  <c r="C18" i="2"/>
  <c r="C19" i="2"/>
  <c r="C20" i="2"/>
  <c r="C21" i="2"/>
  <c r="C22" i="2"/>
  <c r="C23" i="2"/>
  <c r="C24" i="2"/>
  <c r="C25" i="2"/>
  <c r="C26" i="2"/>
  <c r="C27" i="2"/>
  <c r="C28" i="2"/>
  <c r="C29" i="2"/>
  <c r="D7" i="2"/>
  <c r="D8" i="2"/>
  <c r="D9" i="2"/>
  <c r="D10" i="2"/>
  <c r="D11" i="2"/>
  <c r="D12" i="2"/>
  <c r="D13" i="2"/>
  <c r="D14" i="2"/>
  <c r="D15" i="2"/>
  <c r="D16" i="2"/>
  <c r="D17" i="2"/>
  <c r="D6" i="2"/>
  <c r="C7" i="2"/>
  <c r="C8" i="2"/>
  <c r="C9" i="2"/>
  <c r="C10" i="2"/>
  <c r="C11" i="2"/>
  <c r="C12" i="2"/>
  <c r="C13" i="2"/>
  <c r="C14" i="2"/>
  <c r="C15" i="2"/>
  <c r="C16" i="2"/>
  <c r="C17" i="2"/>
  <c r="C6" i="2"/>
  <c r="E14" i="2" l="1"/>
  <c r="E25" i="2"/>
  <c r="E13" i="2"/>
  <c r="E24" i="2"/>
  <c r="E12" i="2"/>
  <c r="E23" i="2"/>
  <c r="E11" i="2"/>
  <c r="E22" i="2"/>
  <c r="E6" i="2"/>
  <c r="E10" i="2"/>
  <c r="E29" i="2"/>
  <c r="E21" i="2"/>
  <c r="E17" i="2"/>
  <c r="E9" i="2"/>
  <c r="E28" i="2"/>
  <c r="E20" i="2"/>
  <c r="E16" i="2"/>
  <c r="E8" i="2"/>
  <c r="E27" i="2"/>
  <c r="E19" i="2"/>
  <c r="E15" i="2"/>
  <c r="E7" i="2"/>
  <c r="E26" i="2"/>
  <c r="E18" i="2"/>
</calcChain>
</file>

<file path=xl/sharedStrings.xml><?xml version="1.0" encoding="utf-8"?>
<sst xmlns="http://schemas.openxmlformats.org/spreadsheetml/2006/main" count="127" uniqueCount="65">
  <si>
    <t>Data Prevista</t>
  </si>
  <si>
    <t xml:space="preserve">Valores </t>
  </si>
  <si>
    <t>Data Realização</t>
  </si>
  <si>
    <t>Status</t>
  </si>
  <si>
    <t xml:space="preserve">Descrição </t>
  </si>
  <si>
    <t>Tópicos</t>
  </si>
  <si>
    <t xml:space="preserve">SALDO </t>
  </si>
  <si>
    <t>Salários</t>
  </si>
  <si>
    <t xml:space="preserve">Dívida de gastos mestre Sussa </t>
  </si>
  <si>
    <t>Gasto Variavel</t>
  </si>
  <si>
    <t>Pendente</t>
  </si>
  <si>
    <t xml:space="preserve">Pagamento referente a cardápio do  restaurante Dames </t>
  </si>
  <si>
    <t>Freelance</t>
  </si>
  <si>
    <t>Divida de gastos Saídas 2025</t>
  </si>
  <si>
    <t xml:space="preserve">Pagamentos de Aulas Auto Escola </t>
  </si>
  <si>
    <t xml:space="preserve">Salário estágio Stigma System </t>
  </si>
  <si>
    <t>Salário estágio INSS</t>
  </si>
  <si>
    <t>VALOR INVESTIDO</t>
  </si>
  <si>
    <t xml:space="preserve">Mensalidade Digital College </t>
  </si>
  <si>
    <t>Gasto Fixo</t>
  </si>
  <si>
    <t>Gastos Crédito especial Banco do Brasil</t>
  </si>
  <si>
    <t>Venda de Férias INSS</t>
  </si>
  <si>
    <t>Vendas/Extras</t>
  </si>
  <si>
    <t>COFRINHO</t>
  </si>
  <si>
    <t xml:space="preserve">Despesa com Rodizio do aniversário </t>
  </si>
  <si>
    <t xml:space="preserve">Pagamento do cartão do Banco do Brasil </t>
  </si>
  <si>
    <t>Concluído</t>
  </si>
  <si>
    <t>Pagamento Mensalidade Jiu-jitsu (Gigueto)</t>
  </si>
  <si>
    <t xml:space="preserve">Lanche na Faculdade </t>
  </si>
  <si>
    <t>MÊS</t>
  </si>
  <si>
    <t>RECEITA</t>
  </si>
  <si>
    <t>DESPESA</t>
  </si>
  <si>
    <t>LUCRO</t>
  </si>
  <si>
    <t>atura VIVO</t>
  </si>
  <si>
    <t>INVESTIR DINHEIRO GUARDADO</t>
  </si>
  <si>
    <t xml:space="preserve">Uber para Diital College </t>
  </si>
  <si>
    <t>Profissional</t>
  </si>
  <si>
    <t>Imposto do MEI</t>
  </si>
  <si>
    <t xml:space="preserve">Uber gigueto </t>
  </si>
  <si>
    <t>Hobbys</t>
  </si>
  <si>
    <t>Saída com Amor Brittus</t>
  </si>
  <si>
    <t>Uber ida saída saída com amor Brittus</t>
  </si>
  <si>
    <t>Uber volta saída saída com amor Brittus</t>
  </si>
  <si>
    <t>D</t>
  </si>
  <si>
    <t xml:space="preserve">Brownie promoção ifood </t>
  </si>
  <si>
    <t>Rótulos de Linha</t>
  </si>
  <si>
    <t xml:space="preserve">Soma de Valores </t>
  </si>
  <si>
    <t>Total Geral</t>
  </si>
  <si>
    <t>Intera do Uber da Volta da Casa do Amor</t>
  </si>
  <si>
    <t>Pagamento referente a cardápio Alpha Açaí</t>
  </si>
  <si>
    <t>(Tudo)</t>
  </si>
  <si>
    <t>Soma de LUCRO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</si>
  <si>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</si>
  <si>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</si>
  <si>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</si>
  <si>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</si>
  <si>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</si>
  <si>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</si>
  <si>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</si>
  <si>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</si>
  <si>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</si>
  <si>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</si>
  <si>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</si>
  <si>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</si>
  <si>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Anos (MÊS)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</si>
</sst>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R$&quot;\ #,##0.00"/>
    <numFmt numFmtId="165" formatCode=";;;"/>
    <numFmt numFmtId="167" formatCode="mmmm\,\ yyyy;@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0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thin">
        <color theme="0"/>
      </right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 style="thin">
        <color theme="1"/>
      </right>
      <top style="thin">
        <color theme="0"/>
      </top>
      <bottom/>
      <diagonal/>
    </border>
    <border>
      <left style="double">
        <color rgb="FF3F3F3F"/>
      </left>
      <right style="thin">
        <color theme="0"/>
      </right>
      <top style="double">
        <color rgb="FF3F3F3F"/>
      </top>
      <bottom/>
      <diagonal/>
    </border>
    <border>
      <left style="thin">
        <color auto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/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0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double">
        <color rgb="FF3F3F3F"/>
      </right>
      <top style="double">
        <color rgb="FF3F3F3F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thin">
        <color theme="0"/>
      </bottom>
      <diagonal/>
    </border>
    <border>
      <left style="double">
        <color rgb="FF3F3F3F"/>
      </left>
      <right style="thin">
        <color theme="0"/>
      </right>
      <top style="double">
        <color rgb="FF3F3F3F"/>
      </top>
      <bottom style="thin">
        <color theme="0"/>
      </bottom>
      <diagonal/>
    </border>
    <border>
      <left/>
      <right style="thin">
        <color theme="0"/>
      </right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4">
    <xf numFmtId="0" fontId="0" fillId="0" borderId="0" xfId="0"/>
    <xf numFmtId="14" fontId="0" fillId="0" borderId="0" xfId="0" applyNumberFormat="1"/>
    <xf numFmtId="0" fontId="0" fillId="4" borderId="12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17" xfId="0" applyFill="1" applyBorder="1" applyProtection="1">
      <protection locked="0"/>
    </xf>
    <xf numFmtId="0" fontId="0" fillId="4" borderId="18" xfId="0" applyFill="1" applyBorder="1" applyProtection="1">
      <protection locked="0"/>
    </xf>
    <xf numFmtId="0" fontId="2" fillId="4" borderId="0" xfId="0" applyFont="1" applyFill="1" applyProtection="1">
      <protection locked="0"/>
    </xf>
    <xf numFmtId="0" fontId="2" fillId="4" borderId="5" xfId="0" applyFont="1" applyFill="1" applyBorder="1" applyProtection="1">
      <protection locked="0"/>
    </xf>
    <xf numFmtId="0" fontId="2" fillId="4" borderId="6" xfId="0" applyFont="1" applyFill="1" applyBorder="1" applyProtection="1">
      <protection locked="0"/>
    </xf>
    <xf numFmtId="0" fontId="0" fillId="4" borderId="24" xfId="0" applyFill="1" applyBorder="1" applyProtection="1">
      <protection locked="0"/>
    </xf>
    <xf numFmtId="0" fontId="0" fillId="4" borderId="25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4" fillId="4" borderId="10" xfId="0" applyFont="1" applyFill="1" applyBorder="1" applyProtection="1">
      <protection locked="0"/>
    </xf>
    <xf numFmtId="0" fontId="0" fillId="4" borderId="26" xfId="0" applyFill="1" applyBorder="1" applyProtection="1">
      <protection locked="0"/>
    </xf>
    <xf numFmtId="0" fontId="0" fillId="4" borderId="27" xfId="0" applyFill="1" applyBorder="1" applyProtection="1">
      <protection locked="0"/>
    </xf>
    <xf numFmtId="0" fontId="0" fillId="4" borderId="28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30" xfId="0" applyFill="1" applyBorder="1" applyProtection="1">
      <protection locked="0"/>
    </xf>
    <xf numFmtId="0" fontId="0" fillId="4" borderId="33" xfId="0" applyFill="1" applyBorder="1" applyProtection="1">
      <protection locked="0"/>
    </xf>
    <xf numFmtId="0" fontId="0" fillId="4" borderId="35" xfId="0" applyFill="1" applyBorder="1" applyProtection="1">
      <protection locked="0"/>
    </xf>
    <xf numFmtId="0" fontId="0" fillId="4" borderId="36" xfId="0" applyFill="1" applyBorder="1" applyProtection="1">
      <protection locked="0"/>
    </xf>
    <xf numFmtId="0" fontId="0" fillId="4" borderId="37" xfId="0" applyFill="1" applyBorder="1" applyProtection="1">
      <protection locked="0"/>
    </xf>
    <xf numFmtId="0" fontId="2" fillId="4" borderId="39" xfId="0" applyFont="1" applyFill="1" applyBorder="1" applyProtection="1">
      <protection locked="0"/>
    </xf>
    <xf numFmtId="0" fontId="2" fillId="4" borderId="38" xfId="0" applyFont="1" applyFill="1" applyBorder="1" applyProtection="1">
      <protection locked="0"/>
    </xf>
    <xf numFmtId="0" fontId="2" fillId="4" borderId="40" xfId="0" applyFont="1" applyFill="1" applyBorder="1" applyProtection="1">
      <protection locked="0"/>
    </xf>
    <xf numFmtId="0" fontId="2" fillId="4" borderId="22" xfId="0" applyFont="1" applyFill="1" applyBorder="1" applyProtection="1">
      <protection locked="0"/>
    </xf>
    <xf numFmtId="0" fontId="2" fillId="4" borderId="17" xfId="0" applyFont="1" applyFill="1" applyBorder="1" applyProtection="1">
      <protection locked="0"/>
    </xf>
    <xf numFmtId="0" fontId="2" fillId="4" borderId="41" xfId="0" applyFont="1" applyFill="1" applyBorder="1" applyProtection="1">
      <protection locked="0"/>
    </xf>
    <xf numFmtId="0" fontId="2" fillId="4" borderId="33" xfId="0" applyFont="1" applyFill="1" applyBorder="1" applyProtection="1">
      <protection locked="0"/>
    </xf>
    <xf numFmtId="0" fontId="2" fillId="4" borderId="42" xfId="0" applyFont="1" applyFill="1" applyBorder="1" applyProtection="1">
      <protection locked="0"/>
    </xf>
    <xf numFmtId="14" fontId="1" fillId="5" borderId="23" xfId="1" applyNumberFormat="1" applyFill="1" applyBorder="1" applyAlignment="1" applyProtection="1">
      <alignment horizontal="left"/>
      <protection locked="0"/>
    </xf>
    <xf numFmtId="14" fontId="1" fillId="5" borderId="1" xfId="1" applyNumberFormat="1" applyFill="1" applyAlignment="1" applyProtection="1">
      <alignment horizontal="left"/>
      <protection locked="0"/>
    </xf>
    <xf numFmtId="0" fontId="1" fillId="5" borderId="1" xfId="1" applyFill="1" applyProtection="1">
      <protection locked="0"/>
    </xf>
    <xf numFmtId="164" fontId="1" fillId="5" borderId="1" xfId="1" applyNumberFormat="1" applyFill="1" applyProtection="1">
      <protection locked="0"/>
    </xf>
    <xf numFmtId="0" fontId="1" fillId="5" borderId="19" xfId="1" applyFill="1" applyBorder="1" applyProtection="1">
      <protection locked="0"/>
    </xf>
    <xf numFmtId="14" fontId="1" fillId="5" borderId="21" xfId="1" applyNumberFormat="1" applyFill="1" applyBorder="1" applyAlignment="1" applyProtection="1">
      <alignment horizontal="left"/>
      <protection locked="0"/>
    </xf>
    <xf numFmtId="0" fontId="1" fillId="5" borderId="20" xfId="1" applyFill="1" applyBorder="1" applyProtection="1">
      <protection locked="0"/>
    </xf>
    <xf numFmtId="0" fontId="1" fillId="5" borderId="1" xfId="1" applyFill="1" applyAlignment="1" applyProtection="1">
      <alignment horizontal="left"/>
      <protection locked="0"/>
    </xf>
    <xf numFmtId="14" fontId="1" fillId="5" borderId="31" xfId="1" applyNumberFormat="1" applyFill="1" applyBorder="1" applyAlignment="1" applyProtection="1">
      <alignment horizontal="left"/>
      <protection locked="0"/>
    </xf>
    <xf numFmtId="0" fontId="1" fillId="5" borderId="32" xfId="1" applyFill="1" applyBorder="1" applyAlignment="1" applyProtection="1">
      <alignment horizontal="left"/>
      <protection locked="0"/>
    </xf>
    <xf numFmtId="0" fontId="1" fillId="5" borderId="32" xfId="1" applyFill="1" applyBorder="1" applyProtection="1">
      <protection locked="0"/>
    </xf>
    <xf numFmtId="164" fontId="1" fillId="5" borderId="32" xfId="1" applyNumberFormat="1" applyFill="1" applyBorder="1" applyProtection="1">
      <protection locked="0"/>
    </xf>
    <xf numFmtId="0" fontId="1" fillId="5" borderId="34" xfId="1" applyFill="1" applyBorder="1" applyProtection="1">
      <protection locked="0"/>
    </xf>
    <xf numFmtId="14" fontId="1" fillId="5" borderId="20" xfId="1" applyNumberFormat="1" applyFill="1" applyBorder="1" applyProtection="1">
      <protection locked="0"/>
    </xf>
    <xf numFmtId="0" fontId="1" fillId="5" borderId="45" xfId="1" applyFill="1" applyBorder="1" applyProtection="1">
      <protection locked="0"/>
    </xf>
    <xf numFmtId="0" fontId="1" fillId="5" borderId="46" xfId="1" applyFill="1" applyBorder="1" applyProtection="1">
      <protection locked="0"/>
    </xf>
    <xf numFmtId="0" fontId="1" fillId="5" borderId="47" xfId="1" applyFill="1" applyBorder="1" applyProtection="1">
      <protection locked="0"/>
    </xf>
    <xf numFmtId="0" fontId="1" fillId="5" borderId="48" xfId="1" applyFill="1" applyBorder="1" applyProtection="1">
      <protection locked="0"/>
    </xf>
    <xf numFmtId="0" fontId="0" fillId="4" borderId="41" xfId="0" applyFill="1" applyBorder="1" applyProtection="1">
      <protection locked="0"/>
    </xf>
    <xf numFmtId="14" fontId="1" fillId="5" borderId="45" xfId="1" applyNumberFormat="1" applyFill="1" applyBorder="1" applyProtection="1">
      <protection locked="0"/>
    </xf>
    <xf numFmtId="164" fontId="3" fillId="4" borderId="7" xfId="0" applyNumberFormat="1" applyFont="1" applyFill="1" applyBorder="1" applyAlignment="1" applyProtection="1">
      <alignment horizontal="right"/>
      <protection locked="0"/>
    </xf>
    <xf numFmtId="164" fontId="3" fillId="4" borderId="29" xfId="0" applyNumberFormat="1" applyFont="1" applyFill="1" applyBorder="1" applyAlignment="1" applyProtection="1">
      <alignment horizontal="right"/>
      <protection locked="0"/>
    </xf>
    <xf numFmtId="164" fontId="3" fillId="4" borderId="8" xfId="0" applyNumberFormat="1" applyFont="1" applyFill="1" applyBorder="1" applyAlignment="1" applyProtection="1">
      <alignment horizontal="right"/>
      <protection locked="0"/>
    </xf>
    <xf numFmtId="164" fontId="3" fillId="4" borderId="43" xfId="0" applyNumberFormat="1" applyFont="1" applyFill="1" applyBorder="1" applyAlignment="1" applyProtection="1">
      <alignment horizontal="right"/>
      <protection locked="0"/>
    </xf>
    <xf numFmtId="164" fontId="3" fillId="4" borderId="24" xfId="0" applyNumberFormat="1" applyFont="1" applyFill="1" applyBorder="1" applyAlignment="1" applyProtection="1">
      <alignment horizontal="right"/>
      <protection locked="0"/>
    </xf>
    <xf numFmtId="164" fontId="3" fillId="4" borderId="44" xfId="0" applyNumberFormat="1" applyFont="1" applyFill="1" applyBorder="1" applyAlignment="1" applyProtection="1">
      <alignment horizontal="right"/>
      <protection locked="0"/>
    </xf>
    <xf numFmtId="0" fontId="3" fillId="4" borderId="11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horizontal="right"/>
    </xf>
    <xf numFmtId="164" fontId="3" fillId="4" borderId="13" xfId="0" applyNumberFormat="1" applyFont="1" applyFill="1" applyBorder="1" applyAlignment="1">
      <alignment horizontal="right"/>
    </xf>
    <xf numFmtId="164" fontId="3" fillId="4" borderId="15" xfId="0" applyNumberFormat="1" applyFont="1" applyFill="1" applyBorder="1" applyAlignment="1">
      <alignment horizontal="right"/>
    </xf>
    <xf numFmtId="164" fontId="3" fillId="4" borderId="16" xfId="0" applyNumberFormat="1" applyFont="1" applyFill="1" applyBorder="1" applyAlignment="1">
      <alignment horizontal="right"/>
    </xf>
    <xf numFmtId="165" fontId="3" fillId="4" borderId="11" xfId="0" applyNumberFormat="1" applyFont="1" applyFill="1" applyBorder="1" applyAlignment="1" applyProtection="1">
      <alignment horizontal="right"/>
      <protection locked="0"/>
    </xf>
    <xf numFmtId="165" fontId="3" fillId="4" borderId="12" xfId="0" applyNumberFormat="1" applyFont="1" applyFill="1" applyBorder="1" applyAlignment="1" applyProtection="1">
      <alignment horizontal="right"/>
      <protection locked="0"/>
    </xf>
    <xf numFmtId="165" fontId="3" fillId="4" borderId="13" xfId="0" applyNumberFormat="1" applyFont="1" applyFill="1" applyBorder="1" applyAlignment="1" applyProtection="1">
      <alignment horizontal="right"/>
      <protection locked="0"/>
    </xf>
    <xf numFmtId="165" fontId="3" fillId="4" borderId="14" xfId="0" applyNumberFormat="1" applyFont="1" applyFill="1" applyBorder="1" applyAlignment="1" applyProtection="1">
      <alignment horizontal="right"/>
      <protection locked="0"/>
    </xf>
    <xf numFmtId="165" fontId="3" fillId="4" borderId="15" xfId="0" applyNumberFormat="1" applyFont="1" applyFill="1" applyBorder="1" applyAlignment="1" applyProtection="1">
      <alignment horizontal="right"/>
      <protection locked="0"/>
    </xf>
    <xf numFmtId="165" fontId="3" fillId="4" borderId="16" xfId="0" applyNumberFormat="1" applyFont="1" applyFill="1" applyBorder="1" applyAlignment="1" applyProtection="1">
      <alignment horizontal="right"/>
      <protection locked="0"/>
    </xf>
    <xf numFmtId="167" fontId="0" fillId="0" borderId="0" xfId="0" applyNumberFormat="1"/>
    <xf numFmtId="0" fontId="0" fillId="0" borderId="0" xfId="0" applyAlignment="1">
      <alignment horizontal="center"/>
    </xf>
    <xf numFmtId="14" fontId="1" fillId="5" borderId="32" xfId="1" applyNumberFormat="1" applyFill="1" applyBorder="1" applyAlignment="1" applyProtection="1">
      <alignment horizontal="left"/>
      <protection locked="0"/>
    </xf>
    <xf numFmtId="0" fontId="0" fillId="4" borderId="0" xfId="0" applyFill="1" applyBorder="1" applyProtection="1">
      <protection locked="0"/>
    </xf>
    <xf numFmtId="0" fontId="2" fillId="4" borderId="14" xfId="0" applyFont="1" applyFill="1" applyBorder="1" applyProtection="1">
      <protection locked="0"/>
    </xf>
    <xf numFmtId="14" fontId="1" fillId="5" borderId="49" xfId="1" applyNumberFormat="1" applyFill="1" applyBorder="1" applyProtection="1">
      <protection locked="0"/>
    </xf>
    <xf numFmtId="14" fontId="1" fillId="5" borderId="34" xfId="1" applyNumberFormat="1" applyFill="1" applyBorder="1" applyProtection="1">
      <protection locked="0"/>
    </xf>
    <xf numFmtId="0" fontId="1" fillId="5" borderId="50" xfId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6" borderId="0" xfId="0" applyFill="1"/>
    <xf numFmtId="0" fontId="0" fillId="0" borderId="0" xfId="0" applyBorder="1"/>
    <xf numFmtId="0" fontId="2" fillId="6" borderId="53" xfId="0" applyFont="1" applyFill="1" applyBorder="1" applyProtection="1">
      <protection locked="0"/>
    </xf>
    <xf numFmtId="0" fontId="0" fillId="6" borderId="52" xfId="0" applyFill="1" applyBorder="1"/>
    <xf numFmtId="0" fontId="2" fillId="3" borderId="51" xfId="0" applyFont="1" applyFill="1" applyBorder="1" applyProtection="1">
      <protection locked="0"/>
    </xf>
    <xf numFmtId="0" fontId="0" fillId="0" borderId="0" xfId="0" applyNumberFormat="1"/>
  </cellXfs>
  <cellStyles count="2">
    <cellStyle name="Célula de Verificação" xfId="1" builtinId="23"/>
    <cellStyle name="Normal" xfId="0" builtinId="0"/>
  </cellStyles>
  <dxfs count="26">
    <dxf>
      <font>
        <color theme="1"/>
      </font>
      <fill>
        <patternFill>
          <bgColor rgb="FFF2A93B"/>
        </patternFill>
      </fill>
    </dxf>
    <dxf>
      <font>
        <color theme="1"/>
      </font>
      <fill>
        <patternFill>
          <bgColor rgb="FF2ECC71"/>
        </patternFill>
      </fill>
    </dxf>
    <dxf>
      <font>
        <color auto="1"/>
      </font>
      <fill>
        <patternFill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protection locked="0" hidden="0"/>
    </dxf>
    <dxf>
      <numFmt numFmtId="19" formatCode="dd/mm/yyyy"/>
    </dxf>
    <dxf>
      <border outline="0">
        <bottom style="thin">
          <color theme="0"/>
        </bottom>
      </border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ill>
        <patternFill patternType="solid">
          <fgColor indexed="64"/>
          <bgColor theme="2" tint="-0.499984740745262"/>
        </patternFill>
      </fill>
      <protection locked="0" hidden="0"/>
    </dxf>
    <dxf>
      <fill>
        <patternFill patternType="solid">
          <fgColor indexed="64"/>
          <bgColor theme="2" tint="-0.499984740745262"/>
        </patternFill>
      </fill>
      <border diagonalUp="0" diagonalDown="0">
        <left style="double">
          <color rgb="FF3F3F3F"/>
        </left>
        <right/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fill>
        <patternFill patternType="solid">
          <fgColor indexed="64"/>
          <bgColor theme="2" tint="-0.499984740745262"/>
        </patternFill>
      </fill>
      <border diagonalUp="0" diagonalDown="0">
        <left style="double">
          <color rgb="FF3F3F3F"/>
        </left>
        <right style="thin">
          <color theme="0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fill>
        <patternFill patternType="solid">
          <fgColor indexed="64"/>
          <bgColor theme="2" tint="-0.499984740745262"/>
        </patternFill>
      </fill>
      <border diagonalUp="0" diagonalDown="0">
        <left style="double">
          <color rgb="FF3F3F3F"/>
        </left>
        <right style="thin">
          <color theme="0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fill>
        <patternFill patternType="solid">
          <fgColor indexed="64"/>
          <bgColor theme="2" tint="-0.499984740745262"/>
        </patternFill>
      </fill>
      <border diagonalUp="0" diagonalDown="0">
        <left style="double">
          <color rgb="FF3F3F3F"/>
        </left>
        <right style="thin">
          <color theme="0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numFmt numFmtId="19" formatCode="dd/mm/yyyy"/>
      <fill>
        <patternFill patternType="solid">
          <fgColor indexed="64"/>
          <bgColor theme="2" tint="-0.499984740745262"/>
        </patternFill>
      </fill>
      <border diagonalUp="0" diagonalDown="0">
        <left style="double">
          <color rgb="FF3F3F3F"/>
        </left>
        <right style="thin">
          <color theme="0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numFmt numFmtId="19" formatCode="dd/mm/yyyy"/>
      <fill>
        <patternFill patternType="solid">
          <fgColor indexed="64"/>
          <bgColor theme="2" tint="-0.499984740745262"/>
        </patternFill>
      </fill>
      <border diagonalUp="0" diagonalDown="0">
        <left/>
        <right style="thin">
          <color theme="0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border outline="0">
        <left style="thin">
          <color theme="0"/>
        </left>
        <right style="thin">
          <color theme="0"/>
        </right>
        <bottom style="double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double">
          <color rgb="FF3F3F3F"/>
        </left>
        <right style="double">
          <color rgb="FF3F3F3F"/>
        </right>
        <top/>
        <bottom/>
      </border>
      <protection locked="0" hidden="0"/>
    </dxf>
    <dxf>
      <fill>
        <patternFill patternType="solid">
          <fgColor indexed="64"/>
          <bgColor theme="2" tint="-0.499984740745262"/>
        </patternFill>
      </fill>
      <border diagonalUp="0" diagonalDown="0">
        <left style="double">
          <color rgb="FF3F3F3F"/>
        </left>
        <right style="thin">
          <color theme="0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numFmt numFmtId="164" formatCode="&quot;R$&quot;\ #,##0.00"/>
      <fill>
        <patternFill patternType="solid">
          <fgColor indexed="64"/>
          <bgColor theme="2" tint="-0.499984740745262"/>
        </patternFill>
      </fill>
      <protection locked="0" hidden="0"/>
    </dxf>
    <dxf>
      <fill>
        <patternFill patternType="solid">
          <fgColor indexed="64"/>
          <bgColor theme="2" tint="-0.499984740745262"/>
        </patternFill>
      </fill>
      <protection locked="0" hidden="0"/>
    </dxf>
    <dxf>
      <fill>
        <patternFill patternType="solid">
          <fgColor indexed="64"/>
          <bgColor theme="2" tint="-0.499984740745262"/>
        </patternFill>
      </fill>
      <protection locked="0" hidden="0"/>
    </dxf>
    <dxf>
      <numFmt numFmtId="19" formatCode="dd/mm/yyyy"/>
      <fill>
        <patternFill patternType="solid">
          <fgColor indexed="64"/>
          <bgColor theme="2" tint="-0.499984740745262"/>
        </patternFill>
      </fill>
      <alignment horizontal="left" vertical="bottom" textRotation="0" wrapText="0" indent="0" justifyLastLine="0" shrinkToFit="0" readingOrder="0"/>
      <protection locked="0" hidden="0"/>
    </dxf>
    <dxf>
      <numFmt numFmtId="19" formatCode="dd/mm/yyyy"/>
      <fill>
        <patternFill patternType="solid">
          <fgColor indexed="64"/>
          <bgColor theme="2" tint="-0.499984740745262"/>
        </patternFill>
      </fill>
      <alignment horizontal="left" vertical="bottom" textRotation="0" wrapText="0" indent="0" justifyLastLine="0" shrinkToFit="0" readingOrder="0"/>
      <border diagonalUp="0" diagonalDown="0">
        <left/>
        <right style="double">
          <color rgb="FF3F3F3F"/>
        </right>
        <top style="double">
          <color rgb="FF3F3F3F"/>
        </top>
        <bottom style="double">
          <color rgb="FF3F3F3F"/>
        </bottom>
        <vertical/>
        <horizontal/>
      </border>
      <protection locked="0" hidden="0"/>
    </dxf>
    <dxf>
      <border outline="0">
        <top style="double">
          <color rgb="FF3F3F3F"/>
        </top>
      </border>
    </dxf>
    <dxf>
      <border outline="0">
        <bottom style="double">
          <color rgb="FF3F3F3F"/>
        </bottom>
      </border>
    </dxf>
    <dxf>
      <border outline="0">
        <bottom style="double">
          <color rgb="FF3F3F3F"/>
        </bottom>
      </border>
    </dxf>
  </dxfs>
  <tableStyles count="1" defaultTableStyle="TableStyleMedium2" defaultPivotStyle="PivotStyleLight16">
    <tableStyle name="Dark" pivot="0" table="0" count="3" xr9:uid="{C4BD0F37-DE0E-4340-9646-0AB6AE0998DB}">
      <tableStyleElement type="wholeTable" dxfId="2"/>
    </tableStyle>
  </tableStyles>
  <colors>
    <mruColors>
      <color rgb="FFF2A93B"/>
      <color rgb="FF2ECC71"/>
      <color rgb="FFFF6600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</font>
          <fill>
            <patternFill>
              <bgColor rgb="FFF2A93B"/>
            </patternFill>
          </fill>
        </dxf>
        <dxf>
          <font>
            <color theme="0"/>
          </font>
          <fill>
            <patternFill>
              <bgColor theme="2" tint="-0.749961851863155"/>
            </patternFill>
          </fill>
        </dxf>
        <dxf>
          <font>
            <b/>
            <i val="0"/>
          </font>
          <fill>
            <patternFill>
              <bgColor rgb="FFF2A93B"/>
            </patternFill>
          </fill>
        </dxf>
        <dxf>
          <font>
            <color theme="0"/>
          </font>
          <fill>
            <patternFill>
              <bgColor theme="2" tint="-0.749961851863155"/>
            </patternFill>
          </fill>
        </dxf>
        <dxf>
          <font>
            <b/>
            <i val="0"/>
          </font>
          <fill>
            <patternFill>
              <bgColor rgb="FFF2A93B"/>
            </patternFill>
          </fill>
        </dxf>
        <dxf>
          <font>
            <color theme="0"/>
          </font>
          <fill>
            <patternFill>
              <bgColor theme="2" tint="-0.749961851863155"/>
            </patternFill>
          </fill>
        </dxf>
        <dxf>
          <font>
            <b/>
            <i val="0"/>
          </font>
          <fill>
            <patternFill>
              <bgColor rgb="FFF2A93B"/>
            </patternFill>
          </fill>
        </dxf>
        <dxf>
          <font>
            <color theme="0"/>
          </font>
          <fill>
            <patternFill>
              <bgColor theme="2" tint="-0.74996185186315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Dark">
          <x14:slicerStyleElements>
            <x14:slicerStyleElement type="unselectedItemWithData" dxfId="1"/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[FINANCIAL_OPERATION_DASHBOARDS.xlsm]Insights!Tabela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Maiores</a:t>
            </a:r>
            <a:r>
              <a:rPr lang="en-US" baseline="0">
                <a:solidFill>
                  <a:schemeClr val="bg1"/>
                </a:solidFill>
              </a:rPr>
              <a:t> Despesas pro Período</a:t>
            </a:r>
          </a:p>
        </c:rich>
      </c:tx>
      <c:layout>
        <c:manualLayout>
          <c:xMode val="edge"/>
          <c:yMode val="edge"/>
          <c:x val="0.3733898008511648"/>
          <c:y val="6.8320235995569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Insights!$V$20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Insights!$U$21:$U$26</c:f>
              <c:strCache>
                <c:ptCount val="5"/>
                <c:pt idx="0">
                  <c:v>Divida de gastos Saídas 2025</c:v>
                </c:pt>
                <c:pt idx="1">
                  <c:v>Gastos Crédito especial Banco do Brasil</c:v>
                </c:pt>
                <c:pt idx="2">
                  <c:v>Mensalidade Digital College </c:v>
                </c:pt>
                <c:pt idx="3">
                  <c:v>Pagamento do cartão do Banco do Brasil </c:v>
                </c:pt>
                <c:pt idx="4">
                  <c:v>Pagamentos de Aulas Auto Escola </c:v>
                </c:pt>
              </c:strCache>
            </c:strRef>
          </c:cat>
          <c:val>
            <c:numRef>
              <c:f>Insights!$V$21:$V$26</c:f>
              <c:numCache>
                <c:formatCode>"R$"\ #,##0.00</c:formatCode>
                <c:ptCount val="5"/>
                <c:pt idx="0">
                  <c:v>290.33</c:v>
                </c:pt>
                <c:pt idx="1">
                  <c:v>835.82</c:v>
                </c:pt>
                <c:pt idx="2">
                  <c:v>331.9</c:v>
                </c:pt>
                <c:pt idx="3">
                  <c:v>1292.3800000000001</c:v>
                </c:pt>
                <c:pt idx="4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34-4C1A-8F5F-3F34EECE6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49840591"/>
        <c:axId val="2049835791"/>
      </c:barChart>
      <c:catAx>
        <c:axId val="2049840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9835791"/>
        <c:crosses val="autoZero"/>
        <c:auto val="1"/>
        <c:lblAlgn val="ctr"/>
        <c:lblOffset val="100"/>
        <c:noMultiLvlLbl val="0"/>
      </c:catAx>
      <c:valAx>
        <c:axId val="2049835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9840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[FINANCIAL_OPERATION_DASHBOARDS.xlsm]Insights!Tabela dinâmica7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ln w="28575" cap="rnd">
            <a:solidFill>
              <a:srgbClr val="F2A93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Insights!$J$11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2A93B"/>
              </a:solidFill>
              <a:round/>
            </a:ln>
            <a:effectLst/>
          </c:spPr>
          <c:marker>
            <c:symbol val="none"/>
          </c:marker>
          <c:cat>
            <c:strRef>
              <c:f>Insights!$I$12:$I$24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Insights!$J$12:$J$24</c:f>
              <c:numCache>
                <c:formatCode>General</c:formatCode>
                <c:ptCount val="12"/>
                <c:pt idx="0">
                  <c:v>0</c:v>
                </c:pt>
                <c:pt idx="1">
                  <c:v>-1893.5400000000004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9-4647-9EC7-473D3EF78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148719"/>
        <c:axId val="362149679"/>
      </c:lineChart>
      <c:catAx>
        <c:axId val="36214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2149679"/>
        <c:crosses val="autoZero"/>
        <c:auto val="1"/>
        <c:lblAlgn val="ctr"/>
        <c:lblOffset val="100"/>
        <c:noMultiLvlLbl val="0"/>
      </c:catAx>
      <c:valAx>
        <c:axId val="36214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214871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Insight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hyperlink" Target="#'Fluxo de Caixa'!A1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608540</xdr:colOff>
      <xdr:row>19</xdr:row>
      <xdr:rowOff>92605</xdr:rowOff>
    </xdr:from>
    <xdr:ext cx="10358439" cy="65987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0980400-7F29-C128-89CE-FA9C9F607228}"/>
            </a:ext>
          </a:extLst>
        </xdr:cNvPr>
        <xdr:cNvSpPr txBox="1"/>
      </xdr:nvSpPr>
      <xdr:spPr>
        <a:xfrm>
          <a:off x="1217082" y="3876147"/>
          <a:ext cx="10358439" cy="65987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4000">
              <a:solidFill>
                <a:schemeClr val="tx1"/>
              </a:solidFill>
            </a:rPr>
            <a:t>DESPESAS </a:t>
          </a:r>
        </a:p>
      </xdr:txBody>
    </xdr:sp>
    <xdr:clientData/>
  </xdr:oneCellAnchor>
  <xdr:oneCellAnchor>
    <xdr:from>
      <xdr:col>10</xdr:col>
      <xdr:colOff>1</xdr:colOff>
      <xdr:row>19</xdr:row>
      <xdr:rowOff>62816</xdr:rowOff>
    </xdr:from>
    <xdr:ext cx="5991223" cy="723418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827E80BA-29C2-EDA5-5361-BF79539BD7A0}"/>
            </a:ext>
          </a:extLst>
        </xdr:cNvPr>
        <xdr:cNvSpPr txBox="1"/>
      </xdr:nvSpPr>
      <xdr:spPr>
        <a:xfrm>
          <a:off x="10944226" y="3682316"/>
          <a:ext cx="5991223" cy="7234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4000">
              <a:solidFill>
                <a:schemeClr val="tx1"/>
              </a:solidFill>
            </a:rPr>
            <a:t>Carteira </a:t>
          </a:r>
        </a:p>
      </xdr:txBody>
    </xdr:sp>
    <xdr:clientData/>
  </xdr:oneCellAnchor>
  <xdr:oneCellAnchor>
    <xdr:from>
      <xdr:col>19</xdr:col>
      <xdr:colOff>608540</xdr:colOff>
      <xdr:row>19</xdr:row>
      <xdr:rowOff>76200</xdr:rowOff>
    </xdr:from>
    <xdr:ext cx="10993439" cy="676275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7C94862D-90BE-4DD1-B106-5F4E4EACCF65}"/>
            </a:ext>
          </a:extLst>
        </xdr:cNvPr>
        <xdr:cNvSpPr txBox="1"/>
      </xdr:nvSpPr>
      <xdr:spPr>
        <a:xfrm>
          <a:off x="19962811" y="3859742"/>
          <a:ext cx="10993439" cy="67627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4000">
              <a:solidFill>
                <a:schemeClr val="tx1"/>
              </a:solidFill>
            </a:rPr>
            <a:t>GANHOS</a:t>
          </a:r>
        </a:p>
        <a:p>
          <a:r>
            <a:rPr lang="pt-BR" sz="4000">
              <a:solidFill>
                <a:schemeClr val="bg1"/>
              </a:solidFill>
            </a:rPr>
            <a:t> </a:t>
          </a:r>
        </a:p>
      </xdr:txBody>
    </xdr:sp>
    <xdr:clientData/>
  </xdr:oneCellAnchor>
  <xdr:twoCellAnchor>
    <xdr:from>
      <xdr:col>12</xdr:col>
      <xdr:colOff>1022881</xdr:colOff>
      <xdr:row>16</xdr:row>
      <xdr:rowOff>291042</xdr:rowOff>
    </xdr:from>
    <xdr:to>
      <xdr:col>14</xdr:col>
      <xdr:colOff>383646</xdr:colOff>
      <xdr:row>18</xdr:row>
      <xdr:rowOff>238124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C3FEFC-97EC-FEEB-017C-F01848E0ECA5}"/>
            </a:ext>
          </a:extLst>
        </xdr:cNvPr>
        <xdr:cNvSpPr/>
      </xdr:nvSpPr>
      <xdr:spPr>
        <a:xfrm>
          <a:off x="14119756" y="3254375"/>
          <a:ext cx="1675869" cy="44979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tx1"/>
              </a:solidFill>
            </a:rPr>
            <a:t>📊 Dashboard</a:t>
          </a:r>
          <a:endParaRPr lang="pt-BR" sz="18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9</xdr:col>
      <xdr:colOff>92603</xdr:colOff>
      <xdr:row>0</xdr:row>
      <xdr:rowOff>0</xdr:rowOff>
    </xdr:from>
    <xdr:to>
      <xdr:col>18</xdr:col>
      <xdr:colOff>476249</xdr:colOff>
      <xdr:row>16</xdr:row>
      <xdr:rowOff>224897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62A6A71-66D8-215D-19A5-C84DACF9F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3853" y="0"/>
          <a:ext cx="6958542" cy="318823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17</xdr:col>
      <xdr:colOff>476250</xdr:colOff>
      <xdr:row>15</xdr:row>
      <xdr:rowOff>13229</xdr:rowOff>
    </xdr:from>
    <xdr:to>
      <xdr:col>18</xdr:col>
      <xdr:colOff>317499</xdr:colOff>
      <xdr:row>16</xdr:row>
      <xdr:rowOff>185208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A0D938A1-ED22-9ADB-B458-AAB79689308E}"/>
            </a:ext>
          </a:extLst>
        </xdr:cNvPr>
        <xdr:cNvSpPr/>
      </xdr:nvSpPr>
      <xdr:spPr>
        <a:xfrm>
          <a:off x="17713854" y="2791354"/>
          <a:ext cx="449791" cy="357187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552450</xdr:colOff>
      <xdr:row>13</xdr:row>
      <xdr:rowOff>47625</xdr:rowOff>
    </xdr:from>
    <xdr:to>
      <xdr:col>17</xdr:col>
      <xdr:colOff>38100</xdr:colOff>
      <xdr:row>14</xdr:row>
      <xdr:rowOff>142875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99227E-0474-44C6-BF1D-8210F90C53AC}"/>
            </a:ext>
          </a:extLst>
        </xdr:cNvPr>
        <xdr:cNvSpPr/>
      </xdr:nvSpPr>
      <xdr:spPr>
        <a:xfrm>
          <a:off x="9324975" y="2533650"/>
          <a:ext cx="1314450" cy="28575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/>
            <a:t>🏠</a:t>
          </a:r>
          <a:r>
            <a:rPr lang="pt-BR" b="1">
              <a:solidFill>
                <a:schemeClr val="tx1"/>
              </a:solidFill>
            </a:rPr>
            <a:t>Fluxo</a:t>
          </a:r>
          <a:r>
            <a:rPr lang="pt-BR" b="1" baseline="0">
              <a:solidFill>
                <a:schemeClr val="tx1"/>
              </a:solidFill>
            </a:rPr>
            <a:t> de Caixa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12</xdr:col>
      <xdr:colOff>355602</xdr:colOff>
      <xdr:row>0</xdr:row>
      <xdr:rowOff>0</xdr:rowOff>
    </xdr:from>
    <xdr:to>
      <xdr:col>19</xdr:col>
      <xdr:colOff>419100</xdr:colOff>
      <xdr:row>12</xdr:row>
      <xdr:rowOff>76199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830C771-AFF3-AF2E-4EE1-009C13BA2C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8927" y="0"/>
          <a:ext cx="4330698" cy="236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171450</xdr:colOff>
      <xdr:row>10</xdr:row>
      <xdr:rowOff>161925</xdr:rowOff>
    </xdr:from>
    <xdr:to>
      <xdr:col>19</xdr:col>
      <xdr:colOff>352425</xdr:colOff>
      <xdr:row>12</xdr:row>
      <xdr:rowOff>0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6ADE6F8C-617D-CB82-1559-CC3C9164CCEA}"/>
            </a:ext>
          </a:extLst>
        </xdr:cNvPr>
        <xdr:cNvSpPr/>
      </xdr:nvSpPr>
      <xdr:spPr>
        <a:xfrm>
          <a:off x="11991975" y="2076450"/>
          <a:ext cx="180975" cy="219075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0</xdr:colOff>
      <xdr:row>20</xdr:row>
      <xdr:rowOff>52386</xdr:rowOff>
    </xdr:from>
    <xdr:to>
      <xdr:col>26</xdr:col>
      <xdr:colOff>190499</xdr:colOff>
      <xdr:row>36</xdr:row>
      <xdr:rowOff>133350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477EA85-7FC8-14BD-FC6D-EA0B08B189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85725</xdr:colOff>
      <xdr:row>20</xdr:row>
      <xdr:rowOff>23811</xdr:rowOff>
    </xdr:from>
    <xdr:to>
      <xdr:col>19</xdr:col>
      <xdr:colOff>600075</xdr:colOff>
      <xdr:row>36</xdr:row>
      <xdr:rowOff>142874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25D1813-FE38-D442-0D2C-6DAEAF2C1B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11</xdr:col>
      <xdr:colOff>85724</xdr:colOff>
      <xdr:row>16</xdr:row>
      <xdr:rowOff>171448</xdr:rowOff>
    </xdr:from>
    <xdr:to>
      <xdr:col>19</xdr:col>
      <xdr:colOff>609599</xdr:colOff>
      <xdr:row>20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Anos ">
              <a:extLst>
                <a:ext uri="{FF2B5EF4-FFF2-40B4-BE49-F238E27FC236}">
                  <a16:creationId xmlns:a16="http://schemas.microsoft.com/office/drawing/2014/main" id="{DAB1BF00-BF65-BE0A-C971-C7F22161FB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s 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34499" y="3219448"/>
              <a:ext cx="5400675" cy="6667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219075</xdr:colOff>
      <xdr:row>9</xdr:row>
      <xdr:rowOff>123825</xdr:rowOff>
    </xdr:from>
    <xdr:to>
      <xdr:col>21</xdr:col>
      <xdr:colOff>123825</xdr:colOff>
      <xdr:row>16</xdr:row>
      <xdr:rowOff>133350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Período">
              <a:extLst>
                <a:ext uri="{FF2B5EF4-FFF2-40B4-BE49-F238E27FC236}">
                  <a16:creationId xmlns:a16="http://schemas.microsoft.com/office/drawing/2014/main" id="{8A70AFBC-F15B-3678-6116-74D7C175B0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íod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35050" y="1838325"/>
              <a:ext cx="367665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Lima" refreshedDate="46061.107254282404" createdVersion="8" refreshedVersion="8" minRefreshableVersion="3" recordCount="22" xr:uid="{26900AD6-2A0C-4A35-8169-6228D80FD1BD}">
  <cacheSource type="worksheet">
    <worksheetSource name="Tabela1"/>
  </cacheSource>
  <cacheFields count="6">
    <cacheField name="Data Prevista" numFmtId="14">
      <sharedItems containsSemiMixedTypes="0" containsNonDate="0" containsDate="1" containsString="0" minDate="2026-02-02T00:00:00" maxDate="2026-02-21T00:00:00"/>
    </cacheField>
    <cacheField name="Data Realização" numFmtId="0">
      <sharedItems containsNonDate="0" containsDate="1" containsString="0" containsBlank="1" minDate="2026-02-02T00:00:00" maxDate="2026-02-08T00:00:00" count="7">
        <d v="2026-02-03T00:00:00"/>
        <d v="2026-02-02T00:00:00"/>
        <m/>
        <d v="2026-02-04T00:00:00"/>
        <d v="2026-02-05T00:00:00"/>
        <d v="2026-02-06T00:00:00"/>
        <d v="2026-02-07T00:00:00"/>
      </sharedItems>
    </cacheField>
    <cacheField name="Descrição " numFmtId="0">
      <sharedItems count="18">
        <s v="Dívida de gastos mestre Sussa "/>
        <s v="Divida de gastos Saídas 2025"/>
        <s v="Pagamentos de Aulas Auto Escola "/>
        <s v="Mensalidade Digital College "/>
        <s v="Gastos Crédito especial Banco do Brasil"/>
        <s v="Despesa com Rodizio do aniversário "/>
        <s v="Pagamento do cartão do Banco do Brasil "/>
        <s v="Pagamento Mensalidade Jiu-jitsu (Gigueto)"/>
        <s v="Lanche na Faculdade "/>
        <s v="atura VIVO"/>
        <s v="Uber para Diital College "/>
        <s v="Imposto do MEI"/>
        <s v="Uber gigueto "/>
        <s v="Saída com Amor Brittus"/>
        <s v="Uber ida saída saída com amor Brittus"/>
        <s v="Uber volta saída saída com amor Brittus"/>
        <s v="Brownie promoção ifood "/>
        <s v="Intera do Uber da Volta da Casa do Amor"/>
      </sharedItems>
    </cacheField>
    <cacheField name="Tópicos" numFmtId="0">
      <sharedItems/>
    </cacheField>
    <cacheField name="Valores " numFmtId="164">
      <sharedItems containsSemiMixedTypes="0" containsString="0" containsNumber="1" minValue="1" maxValue="1292.3800000000001"/>
    </cacheField>
    <cacheField name="Status" numFmtId="0">
      <sharedItems/>
    </cacheField>
  </cacheFields>
  <extLst>
    <ext xmlns:x14="http://schemas.microsoft.com/office/spreadsheetml/2009/9/main" uri="{725AE2AE-9491-48be-B2B4-4EB974FC3084}">
      <x14:pivotCacheDefinition pivotCacheId="3628946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Lima" refreshedDate="46061.183376851855" createdVersion="8" refreshedVersion="8" minRefreshableVersion="3" recordCount="36" xr:uid="{AA484AAA-ED91-43E3-B1E0-44436282F749}">
  <cacheSource type="worksheet">
    <worksheetSource name="Tabela3"/>
  </cacheSource>
  <cacheFields count="7">
    <cacheField name="MÊS" numFmtId="14">
      <sharedItems containsSemiMixedTypes="0" containsNonDate="0" containsDate="1" containsString="0" minDate="2026-01-01T00:00:00" maxDate="2028-12-02T00:00:00" count="35"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  <d v="2027-01-01T00:00:00"/>
        <d v="2027-02-01T00:00:00"/>
        <d v="2027-03-01T00:00:00"/>
        <d v="2027-04-01T00:00:00"/>
        <d v="2027-05-01T00:00:00"/>
        <d v="2027-06-01T00:00:00"/>
        <d v="2027-07-01T00:00:00"/>
        <d v="2027-08-01T00:00:00"/>
        <d v="2027-09-01T00:00:00"/>
        <d v="2027-10-01T00:00:00"/>
        <d v="2027-11-01T00:00:00"/>
        <d v="2027-12-01T00:00:00"/>
        <d v="2028-01-01T00:00:00"/>
        <d v="2028-02-01T00:00:00"/>
        <d v="2028-03-01T00:00:00"/>
        <d v="2028-04-01T00:00:00"/>
        <d v="2028-05-01T00:00:00"/>
        <d v="2028-07-01T00:00:00"/>
        <d v="2028-08-01T00:00:00"/>
        <d v="2028-09-01T00:00:00"/>
        <d v="2028-10-01T00:00:00"/>
        <d v="2028-11-01T00:00:00"/>
        <d v="2028-12-01T00:00:00"/>
      </sharedItems>
      <fieldGroup par="6"/>
    </cacheField>
    <cacheField name="RECEITA" numFmtId="0">
      <sharedItems containsSemiMixedTypes="0" containsString="0" containsNumber="1" minValue="0" maxValue="1356.38"/>
    </cacheField>
    <cacheField name="DESPESA" numFmtId="0">
      <sharedItems containsSemiMixedTypes="0" containsString="0" containsNumber="1" minValue="0" maxValue="3249.9200000000005"/>
    </cacheField>
    <cacheField name="LUCRO" numFmtId="0">
      <sharedItems containsSemiMixedTypes="0" containsString="0" containsNumber="1" minValue="-1893.5400000000004" maxValue="0"/>
    </cacheField>
    <cacheField name="Meses (MÊS)" numFmtId="0" databaseField="0">
      <fieldGroup base="0">
        <rangePr groupBy="months" startDate="2026-01-01T00:00:00" endDate="2028-12-02T00:00:00"/>
        <groupItems count="14">
          <s v="&lt;01/01/2026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12/2028"/>
        </groupItems>
      </fieldGroup>
    </cacheField>
    <cacheField name="Trimestres (MÊS)" numFmtId="0" databaseField="0">
      <fieldGroup base="0">
        <rangePr groupBy="quarters" startDate="2026-01-01T00:00:00" endDate="2028-12-02T00:00:00"/>
        <groupItems count="6">
          <s v="&lt;01/01/2026"/>
          <s v="Trim1"/>
          <s v="Trim2"/>
          <s v="Trim3"/>
          <s v="Trim4"/>
          <s v="&gt;02/12/2028"/>
        </groupItems>
      </fieldGroup>
    </cacheField>
    <cacheField name="Anos (MÊS)" numFmtId="0" databaseField="0">
      <fieldGroup base="0">
        <rangePr groupBy="years" startDate="2026-01-01T00:00:00" endDate="2028-12-02T00:00:00"/>
        <groupItems count="5">
          <s v="&lt;01/01/2026"/>
          <s v="2026"/>
          <s v="2027"/>
          <s v="2028"/>
          <s v="&gt;02/12/2028"/>
        </groupItems>
      </fieldGroup>
    </cacheField>
  </cacheFields>
  <extLst>
    <ext xmlns:x14="http://schemas.microsoft.com/office/spreadsheetml/2009/9/main" uri="{725AE2AE-9491-48be-B2B4-4EB974FC3084}">
      <x14:pivotCacheDefinition pivotCacheId="179064847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26-02-02T00:00:00"/>
    <x v="0"/>
    <x v="0"/>
    <s v="Gasto Variavel"/>
    <n v="82.5"/>
    <s v="Concluído"/>
  </r>
  <r>
    <d v="2026-02-02T00:00:00"/>
    <x v="1"/>
    <x v="1"/>
    <s v="Gasto Variavel"/>
    <n v="290.33"/>
    <s v="Concluído"/>
  </r>
  <r>
    <d v="2026-02-02T00:00:00"/>
    <x v="2"/>
    <x v="2"/>
    <s v="Gasto Variavel"/>
    <n v="250"/>
    <s v="Pendente"/>
  </r>
  <r>
    <d v="2026-02-02T00:00:00"/>
    <x v="0"/>
    <x v="3"/>
    <s v="Gasto Fixo"/>
    <n v="331.9"/>
    <s v="Concluído"/>
  </r>
  <r>
    <d v="2026-02-02T00:00:00"/>
    <x v="1"/>
    <x v="4"/>
    <s v="Gasto Variavel"/>
    <n v="835.82"/>
    <s v="Concluído"/>
  </r>
  <r>
    <d v="2026-02-02T00:00:00"/>
    <x v="1"/>
    <x v="5"/>
    <s v="Gasto Variavel"/>
    <n v="60"/>
    <s v="Concluído"/>
  </r>
  <r>
    <d v="2026-02-02T00:00:00"/>
    <x v="1"/>
    <x v="6"/>
    <s v="Gasto Variavel"/>
    <n v="1292.3800000000001"/>
    <s v="Concluído"/>
  </r>
  <r>
    <d v="2026-02-03T00:00:00"/>
    <x v="0"/>
    <x v="7"/>
    <s v="Gasto Variavel"/>
    <n v="195"/>
    <s v="Concluído"/>
  </r>
  <r>
    <d v="2026-02-02T00:00:00"/>
    <x v="1"/>
    <x v="8"/>
    <s v="Gasto Variavel"/>
    <n v="9"/>
    <s v="Concluído"/>
  </r>
  <r>
    <d v="2026-02-02T00:00:00"/>
    <x v="0"/>
    <x v="9"/>
    <s v="Gasto Fixo"/>
    <n v="54.11"/>
    <s v="Concluído"/>
  </r>
  <r>
    <d v="2026-02-02T00:00:00"/>
    <x v="0"/>
    <x v="10"/>
    <s v="Profissional"/>
    <n v="6.32"/>
    <s v="Concluído"/>
  </r>
  <r>
    <d v="2026-02-20T00:00:00"/>
    <x v="2"/>
    <x v="11"/>
    <s v="Profissional"/>
    <n v="86.05"/>
    <s v="Pendente"/>
  </r>
  <r>
    <d v="2026-02-03T00:00:00"/>
    <x v="0"/>
    <x v="10"/>
    <s v="Profissional"/>
    <n v="7.92"/>
    <s v="Concluído"/>
  </r>
  <r>
    <d v="2026-02-04T00:00:00"/>
    <x v="3"/>
    <x v="12"/>
    <s v="Hobbys"/>
    <n v="2.96"/>
    <s v="Concluído"/>
  </r>
  <r>
    <d v="2026-02-04T00:00:00"/>
    <x v="3"/>
    <x v="12"/>
    <s v="Hobbys"/>
    <n v="6.9"/>
    <s v="Concluído"/>
  </r>
  <r>
    <d v="2026-02-04T00:00:00"/>
    <x v="3"/>
    <x v="8"/>
    <s v="Hobbys"/>
    <n v="11"/>
    <s v="Concluído"/>
  </r>
  <r>
    <d v="2026-02-04T00:00:00"/>
    <x v="4"/>
    <x v="12"/>
    <s v="Hobbys"/>
    <n v="6.9"/>
    <s v="Concluído"/>
  </r>
  <r>
    <d v="2026-02-06T00:00:00"/>
    <x v="5"/>
    <x v="13"/>
    <s v="Gasto Variavel"/>
    <n v="32"/>
    <s v="Concluído"/>
  </r>
  <r>
    <d v="2026-02-06T00:00:00"/>
    <x v="5"/>
    <x v="14"/>
    <s v="Gasto Variavel"/>
    <n v="10.95"/>
    <s v="Concluído"/>
  </r>
  <r>
    <d v="2026-02-06T00:00:00"/>
    <x v="5"/>
    <x v="15"/>
    <s v="Gasto Variavel"/>
    <n v="6.5"/>
    <s v="Concluído"/>
  </r>
  <r>
    <d v="2026-02-07T00:00:00"/>
    <x v="6"/>
    <x v="16"/>
    <s v="Gasto Variavel"/>
    <n v="1"/>
    <s v="Concluído"/>
  </r>
  <r>
    <d v="2026-02-07T00:00:00"/>
    <x v="6"/>
    <x v="17"/>
    <s v="Gasto Variavel"/>
    <n v="6.43"/>
    <s v="Concluíd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n v="0"/>
    <n v="0"/>
    <n v="0"/>
  </r>
  <r>
    <x v="1"/>
    <n v="1356.38"/>
    <n v="3249.9200000000005"/>
    <n v="-1893.5400000000004"/>
  </r>
  <r>
    <x v="2"/>
    <n v="0"/>
    <n v="0"/>
    <n v="0"/>
  </r>
  <r>
    <x v="3"/>
    <n v="0"/>
    <n v="0"/>
    <n v="0"/>
  </r>
  <r>
    <x v="4"/>
    <n v="0"/>
    <n v="0"/>
    <n v="0"/>
  </r>
  <r>
    <x v="5"/>
    <n v="0"/>
    <n v="0"/>
    <n v="0"/>
  </r>
  <r>
    <x v="6"/>
    <n v="0"/>
    <n v="0"/>
    <n v="0"/>
  </r>
  <r>
    <x v="7"/>
    <n v="0"/>
    <n v="0"/>
    <n v="0"/>
  </r>
  <r>
    <x v="8"/>
    <n v="0"/>
    <n v="0"/>
    <n v="0"/>
  </r>
  <r>
    <x v="9"/>
    <n v="0"/>
    <n v="0"/>
    <n v="0"/>
  </r>
  <r>
    <x v="10"/>
    <n v="0"/>
    <n v="0"/>
    <n v="0"/>
  </r>
  <r>
    <x v="11"/>
    <n v="0"/>
    <n v="0"/>
    <n v="0"/>
  </r>
  <r>
    <x v="12"/>
    <n v="0"/>
    <n v="0"/>
    <n v="0"/>
  </r>
  <r>
    <x v="13"/>
    <n v="0"/>
    <n v="0"/>
    <n v="0"/>
  </r>
  <r>
    <x v="14"/>
    <n v="0"/>
    <n v="0"/>
    <n v="0"/>
  </r>
  <r>
    <x v="15"/>
    <n v="0"/>
    <n v="0"/>
    <n v="0"/>
  </r>
  <r>
    <x v="16"/>
    <n v="0"/>
    <n v="0"/>
    <n v="0"/>
  </r>
  <r>
    <x v="17"/>
    <n v="0"/>
    <n v="0"/>
    <n v="0"/>
  </r>
  <r>
    <x v="18"/>
    <n v="0"/>
    <n v="0"/>
    <n v="0"/>
  </r>
  <r>
    <x v="19"/>
    <n v="0"/>
    <n v="0"/>
    <n v="0"/>
  </r>
  <r>
    <x v="20"/>
    <n v="0"/>
    <n v="0"/>
    <n v="0"/>
  </r>
  <r>
    <x v="21"/>
    <n v="0"/>
    <n v="0"/>
    <n v="0"/>
  </r>
  <r>
    <x v="22"/>
    <n v="0"/>
    <n v="0"/>
    <n v="0"/>
  </r>
  <r>
    <x v="23"/>
    <n v="0"/>
    <n v="0"/>
    <n v="0"/>
  </r>
  <r>
    <x v="24"/>
    <n v="0"/>
    <n v="0"/>
    <n v="0"/>
  </r>
  <r>
    <x v="25"/>
    <n v="0"/>
    <n v="0"/>
    <n v="0"/>
  </r>
  <r>
    <x v="26"/>
    <n v="0"/>
    <n v="0"/>
    <n v="0"/>
  </r>
  <r>
    <x v="27"/>
    <n v="0"/>
    <n v="0"/>
    <n v="0"/>
  </r>
  <r>
    <x v="28"/>
    <n v="0"/>
    <n v="0"/>
    <n v="0"/>
  </r>
  <r>
    <x v="17"/>
    <n v="0"/>
    <n v="0"/>
    <n v="0"/>
  </r>
  <r>
    <x v="29"/>
    <n v="0"/>
    <n v="0"/>
    <n v="0"/>
  </r>
  <r>
    <x v="30"/>
    <n v="0"/>
    <n v="0"/>
    <n v="0"/>
  </r>
  <r>
    <x v="31"/>
    <n v="0"/>
    <n v="0"/>
    <n v="0"/>
  </r>
  <r>
    <x v="32"/>
    <n v="0"/>
    <n v="0"/>
    <n v="0"/>
  </r>
  <r>
    <x v="33"/>
    <n v="0"/>
    <n v="0"/>
    <n v="0"/>
  </r>
  <r>
    <x v="34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4E54B-C094-4005-BA83-AD9854809206}" name="Tabela dinâmica7" cacheId="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I11:J24" firstHeaderRow="1" firstDataRow="1" firstDataCol="1" rowPageCount="1" colPageCount="1"/>
  <pivotFields count="7">
    <pivotField numFmtId="14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1">
    <field x="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6" hier="-1"/>
  </pageFields>
  <dataFields count="1">
    <dataField name="Soma de LUCRO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81EAF2-B4BA-47C9-BE6E-E86C138F4094}" name="Tabela dinâmica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U20:V26" firstHeaderRow="1" firstDataRow="1" firstDataCol="1"/>
  <pivotFields count="6">
    <pivotField numFmtId="14" showAll="0"/>
    <pivotField name="Período" multipleItemSelectionAllowed="1" showAll="0">
      <items count="8">
        <item x="1"/>
        <item x="0"/>
        <item x="3"/>
        <item x="4"/>
        <item x="5"/>
        <item x="6"/>
        <item x="2"/>
        <item t="default"/>
      </items>
    </pivotField>
    <pivotField axis="axisRow" showAll="0" measureFilter="1">
      <items count="19">
        <item x="9"/>
        <item x="16"/>
        <item x="5"/>
        <item x="0"/>
        <item x="1"/>
        <item x="4"/>
        <item x="11"/>
        <item x="17"/>
        <item x="8"/>
        <item x="3"/>
        <item x="6"/>
        <item x="7"/>
        <item x="2"/>
        <item x="13"/>
        <item x="12"/>
        <item x="14"/>
        <item x="10"/>
        <item x="15"/>
        <item t="default"/>
      </items>
    </pivotField>
    <pivotField showAll="0"/>
    <pivotField dataField="1" numFmtId="164" showAll="0"/>
    <pivotField showAll="0"/>
  </pivotFields>
  <rowFields count="1">
    <field x="2"/>
  </rowFields>
  <rowItems count="6">
    <i>
      <x v="4"/>
    </i>
    <i>
      <x v="5"/>
    </i>
    <i>
      <x v="9"/>
    </i>
    <i>
      <x v="10"/>
    </i>
    <i>
      <x v="12"/>
    </i>
    <i t="grand">
      <x/>
    </i>
  </rowItems>
  <colItems count="1">
    <i/>
  </colItems>
  <dataFields count="1">
    <dataField name="Soma de Valores " fld="4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s__MÊS" xr10:uid="{8BECB98B-D5E2-4A45-ABD1-FBFC680B4E77}" sourceName="Anos (MÊS)">
  <pivotTables>
    <pivotTable tabId="2" name="Tabela dinâmica7"/>
  </pivotTables>
  <data>
    <tabular pivotCacheId="1790648474">
      <items count="5">
        <i x="1" s="1"/>
        <i x="2" s="1"/>
        <i x="3" s="1"/>
        <i x="0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Realização" xr10:uid="{5F636803-EC47-49A5-A70C-0A88CB7591F4}" sourceName="Data Realização">
  <pivotTables>
    <pivotTable tabId="2" name="Tabela dinâmica2"/>
  </pivotTables>
  <data>
    <tabular pivotCacheId="362894678">
      <items count="7">
        <i x="1" s="1"/>
        <i x="0" s="1"/>
        <i x="3" s="1"/>
        <i x="4" s="1"/>
        <i x="5" s="1"/>
        <i x="6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s " xr10:uid="{3718F801-A81D-4320-9B0C-D14FE6ECFFC0}" cache="SegmentaçãodeDados_Anos__MÊS" columnCount="3" style="Dark" rowHeight="252000"/>
  <slicer name="Período" xr10:uid="{298E78D0-8315-4E3D-92E6-3B17CB2B6CE9}" cache="SegmentaçãodeDados_Data_Realização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CAC469-C5A1-42D7-8365-98B467360654}" name="Tabela1" displayName="Tabela1" ref="C24:H46" totalsRowShown="0" headerRowDxfId="16" headerRowBorderDxfId="24" tableBorderDxfId="25" totalsRowBorderDxfId="23">
  <autoFilter ref="C24:H46" xr:uid="{86CAC469-C5A1-42D7-8365-98B467360654}"/>
  <tableColumns count="6">
    <tableColumn id="1" xr3:uid="{62A60FB8-8578-44DB-A25A-8711792C199A}" name="Data Prevista" dataDxfId="22" dataCellStyle="Célula de Verificação"/>
    <tableColumn id="2" xr3:uid="{946DA68E-F2A5-4DCA-A72A-918CA5126E86}" name="Data Realização" dataDxfId="21" dataCellStyle="Célula de Verificação"/>
    <tableColumn id="3" xr3:uid="{3326A746-5204-463B-9CFD-CCEEED03474D}" name="Descrição " dataDxfId="20" dataCellStyle="Célula de Verificação"/>
    <tableColumn id="4" xr3:uid="{9158552F-6243-4412-9D6B-293A18DC30B9}" name="Tópicos" dataDxfId="19" dataCellStyle="Célula de Verificação"/>
    <tableColumn id="5" xr3:uid="{3A66A108-9E3F-4F3B-8BA4-207A09C3452A}" name="Valores " dataDxfId="18" dataCellStyle="Célula de Verificação"/>
    <tableColumn id="6" xr3:uid="{0E48200B-7168-4BD6-AF0A-B74BCFCC7BE0}" name="Status" dataDxfId="17" dataCellStyle="Célula de Verificaçã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44BFFD-A4C3-4A7D-B3A6-B0361484679C}" name="Tabela2" displayName="Tabela2" ref="U24:Z29" totalsRowShown="0" headerRowDxfId="7" dataDxfId="8" tableBorderDxfId="15" dataCellStyle="Célula de Verificação">
  <autoFilter ref="U24:Z29" xr:uid="{2144BFFD-A4C3-4A7D-B3A6-B0361484679C}"/>
  <tableColumns count="6">
    <tableColumn id="1" xr3:uid="{A2576597-57EB-4FE4-A751-73715093365C}" name="Data Prevista" dataDxfId="14" dataCellStyle="Célula de Verificação"/>
    <tableColumn id="2" xr3:uid="{1E2F40D2-15EF-4FC8-B013-DBAA5498E9F9}" name="Data Realização" dataDxfId="13" dataCellStyle="Célula de Verificação"/>
    <tableColumn id="3" xr3:uid="{8CC543E2-D024-4295-A852-C2391E0F0F3C}" name="Descrição " dataDxfId="12" dataCellStyle="Célula de Verificação"/>
    <tableColumn id="4" xr3:uid="{5A43A27E-649E-4C6F-8C4E-CADF226681AC}" name="Tópicos" dataDxfId="11" dataCellStyle="Célula de Verificação"/>
    <tableColumn id="5" xr3:uid="{F3665B9B-0B75-4ED1-BD24-9370DB73A136}" name="Valores " dataDxfId="10" dataCellStyle="Célula de Verificação"/>
    <tableColumn id="6" xr3:uid="{BD6DE856-D319-4C9B-8F34-E716334B9BC6}" name="Status" dataDxfId="9" dataCellStyle="Célula de Verifica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2EBEF3-CB43-42E6-93EF-A33811655057}" name="Tabela3" displayName="Tabela3" ref="B5:E41" totalsRowShown="0" headerRowDxfId="3" headerRowBorderDxfId="5" tableBorderDxfId="6">
  <autoFilter ref="B5:E41" xr:uid="{862EBEF3-CB43-42E6-93EF-A33811655057}"/>
  <tableColumns count="4">
    <tableColumn id="1" xr3:uid="{19AA4AFC-39BC-4E4A-A38F-F2D6A75602D8}" name="MÊS" dataDxfId="4"/>
    <tableColumn id="2" xr3:uid="{6D020B97-8EFF-4804-A635-0A303F28F3D8}" name="RECEITA">
      <calculatedColumnFormula>SUMIFS('Fluxo de Caixa'!Y:Y, 'Fluxo de Caixa'!Z:Z, "Conclu*", 'Fluxo de Caixa'!V:V, "&gt;="&amp;B6, 'Fluxo de Caixa'!V:V, "&lt;"&amp;EDATE(B6,1))</calculatedColumnFormula>
    </tableColumn>
    <tableColumn id="3" xr3:uid="{98FEA4BD-07D5-4856-87C3-213447302CF9}" name="DESPESA">
      <calculatedColumnFormula>SUMIFS('Fluxo de Caixa'!G:G, 'Fluxo de Caixa'!H:H, "Conclu*", 'Fluxo de Caixa'!D:D, "&gt;="&amp;B6, 'Fluxo de Caixa'!D:D, "&lt;"&amp;EDATE(B6,1))</calculatedColumnFormula>
    </tableColumn>
    <tableColumn id="4" xr3:uid="{4E3FD808-3797-4672-94C1-61B0CE23B7FD}" name="LUCRO">
      <calculatedColumnFormula>C6-D6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17FAC-9CCB-48DA-83E0-861FF330DE62}">
  <sheetPr codeName="Planilha1"/>
  <dimension ref="A4:AA180"/>
  <sheetViews>
    <sheetView showGridLines="0" topLeftCell="A9" zoomScale="72" zoomScaleNormal="100" workbookViewId="0">
      <selection activeCell="H31" sqref="C31:H31"/>
    </sheetView>
  </sheetViews>
  <sheetFormatPr defaultRowHeight="15" x14ac:dyDescent="0.25"/>
  <cols>
    <col min="1" max="2" width="9.140625" style="3"/>
    <col min="3" max="3" width="21.140625" style="3" bestFit="1" customWidth="1"/>
    <col min="4" max="4" width="24.28515625" style="3" bestFit="1" customWidth="1"/>
    <col min="5" max="5" width="54.140625" style="3" customWidth="1"/>
    <col min="6" max="6" width="19.85546875" style="3" customWidth="1"/>
    <col min="7" max="7" width="17.140625" style="3" customWidth="1"/>
    <col min="8" max="8" width="18.7109375" style="3" customWidth="1"/>
    <col min="9" max="12" width="9.140625" style="3"/>
    <col min="13" max="13" width="25.5703125" style="3" customWidth="1"/>
    <col min="14" max="20" width="9.140625" style="3"/>
    <col min="21" max="21" width="21.140625" style="3" bestFit="1" customWidth="1"/>
    <col min="22" max="22" width="24.28515625" style="3" bestFit="1" customWidth="1"/>
    <col min="23" max="23" width="70" style="3" customWidth="1"/>
    <col min="24" max="24" width="19.42578125" style="3" customWidth="1"/>
    <col min="25" max="25" width="16" style="3" customWidth="1"/>
    <col min="26" max="26" width="13.7109375" style="3" customWidth="1"/>
    <col min="27" max="16384" width="9.140625" style="3"/>
  </cols>
  <sheetData>
    <row r="4" spans="5:23" x14ac:dyDescent="0.25">
      <c r="G4" s="20"/>
    </row>
    <row r="5" spans="5:23" x14ac:dyDescent="0.25">
      <c r="F5" s="55"/>
      <c r="G5" s="56"/>
      <c r="H5" s="56"/>
      <c r="I5" s="57"/>
    </row>
    <row r="6" spans="5:23" x14ac:dyDescent="0.25">
      <c r="E6" s="12"/>
      <c r="F6" s="58"/>
      <c r="G6" s="59"/>
      <c r="H6" s="59"/>
      <c r="I6" s="60"/>
    </row>
    <row r="7" spans="5:23" x14ac:dyDescent="0.25">
      <c r="E7" s="12"/>
    </row>
    <row r="9" spans="5:23" x14ac:dyDescent="0.25">
      <c r="H9" s="12"/>
    </row>
    <row r="12" spans="5:23" x14ac:dyDescent="0.25">
      <c r="G12" s="55"/>
      <c r="H12" s="56"/>
      <c r="I12" s="56"/>
      <c r="J12" s="57"/>
    </row>
    <row r="13" spans="5:23" x14ac:dyDescent="0.25">
      <c r="G13" s="58"/>
      <c r="H13" s="59"/>
      <c r="I13" s="59"/>
      <c r="J13" s="60"/>
    </row>
    <row r="15" spans="5:23" x14ac:dyDescent="0.25">
      <c r="W15" s="9"/>
    </row>
    <row r="17" spans="1:26" ht="25.5" customHeight="1" x14ac:dyDescent="0.25"/>
    <row r="19" spans="1:26" ht="25.5" customHeight="1" x14ac:dyDescent="0.25"/>
    <row r="21" spans="1:26" x14ac:dyDescent="0.25">
      <c r="Z21" s="8"/>
    </row>
    <row r="22" spans="1:26" x14ac:dyDescent="0.25">
      <c r="Z22" s="8"/>
    </row>
    <row r="23" spans="1:26" x14ac:dyDescent="0.25">
      <c r="C23" s="9"/>
      <c r="D23" s="9"/>
      <c r="E23" s="9"/>
      <c r="F23" s="9"/>
      <c r="G23" s="9"/>
      <c r="H23" s="10"/>
      <c r="I23" s="24"/>
      <c r="K23" s="4"/>
      <c r="L23" s="5"/>
      <c r="M23" s="5"/>
      <c r="N23" s="5"/>
      <c r="O23" s="5"/>
      <c r="P23" s="5"/>
      <c r="Q23" s="5"/>
      <c r="R23" s="6"/>
      <c r="Z23" s="8"/>
    </row>
    <row r="24" spans="1:26" ht="24" customHeight="1" thickBot="1" x14ac:dyDescent="0.3">
      <c r="B24" s="8"/>
      <c r="C24" s="29" t="s">
        <v>0</v>
      </c>
      <c r="D24" s="11" t="s">
        <v>2</v>
      </c>
      <c r="E24" s="11" t="s">
        <v>4</v>
      </c>
      <c r="F24" s="11" t="s">
        <v>5</v>
      </c>
      <c r="G24" s="11" t="s">
        <v>1</v>
      </c>
      <c r="H24" s="27" t="s">
        <v>3</v>
      </c>
      <c r="I24" s="28"/>
      <c r="J24" s="25"/>
      <c r="K24" s="61" t="s">
        <v>6</v>
      </c>
      <c r="L24" s="62"/>
      <c r="M24" s="62"/>
      <c r="N24" s="63"/>
      <c r="O24" s="67">
        <v>-2229.5900000000006</v>
      </c>
      <c r="P24" s="67"/>
      <c r="Q24" s="67"/>
      <c r="R24" s="68"/>
      <c r="T24" s="80"/>
      <c r="U24" s="9" t="s">
        <v>0</v>
      </c>
      <c r="V24" s="31" t="s">
        <v>2</v>
      </c>
      <c r="W24" s="31" t="s">
        <v>4</v>
      </c>
      <c r="X24" s="31" t="s">
        <v>5</v>
      </c>
      <c r="Y24" s="30" t="s">
        <v>1</v>
      </c>
      <c r="Z24" s="81" t="s">
        <v>3</v>
      </c>
    </row>
    <row r="25" spans="1:26" ht="16.5" customHeight="1" thickTop="1" thickBot="1" x14ac:dyDescent="0.3">
      <c r="C25" s="35">
        <v>46055</v>
      </c>
      <c r="D25" s="36">
        <v>46056</v>
      </c>
      <c r="E25" s="37" t="s">
        <v>8</v>
      </c>
      <c r="F25" s="37" t="s">
        <v>9</v>
      </c>
      <c r="G25" s="38">
        <v>82.5</v>
      </c>
      <c r="H25" s="39" t="s">
        <v>26</v>
      </c>
      <c r="I25" s="26"/>
      <c r="K25" s="64"/>
      <c r="L25" s="65"/>
      <c r="M25" s="65"/>
      <c r="N25" s="66"/>
      <c r="O25" s="69"/>
      <c r="P25" s="69"/>
      <c r="Q25" s="69"/>
      <c r="R25" s="70"/>
      <c r="T25" s="80"/>
      <c r="U25" s="54">
        <v>46055</v>
      </c>
      <c r="V25" s="48">
        <v>46054</v>
      </c>
      <c r="W25" s="41" t="s">
        <v>16</v>
      </c>
      <c r="X25" s="41" t="s">
        <v>7</v>
      </c>
      <c r="Y25" s="41">
        <v>1306.3800000000001</v>
      </c>
      <c r="Z25" s="39" t="s">
        <v>26</v>
      </c>
    </row>
    <row r="26" spans="1:26" ht="16.5" thickTop="1" thickBot="1" x14ac:dyDescent="0.3">
      <c r="A26" s="14"/>
      <c r="B26" s="13"/>
      <c r="C26" s="40">
        <v>46055</v>
      </c>
      <c r="D26" s="36">
        <v>46055</v>
      </c>
      <c r="E26" s="37" t="s">
        <v>13</v>
      </c>
      <c r="F26" s="37" t="s">
        <v>9</v>
      </c>
      <c r="G26" s="38">
        <v>290.33</v>
      </c>
      <c r="H26" s="39" t="s">
        <v>26</v>
      </c>
      <c r="I26" s="7"/>
      <c r="K26" s="61" t="s">
        <v>17</v>
      </c>
      <c r="L26" s="62"/>
      <c r="M26" s="62"/>
      <c r="N26" s="63"/>
      <c r="O26" s="67">
        <f>SUMIF(F:F,"Investimento",G:G)</f>
        <v>0</v>
      </c>
      <c r="P26" s="67"/>
      <c r="Q26" s="67"/>
      <c r="R26" s="68"/>
      <c r="T26" s="80"/>
      <c r="U26" s="54">
        <v>46058</v>
      </c>
      <c r="V26" s="48">
        <v>46059</v>
      </c>
      <c r="W26" s="41" t="s">
        <v>11</v>
      </c>
      <c r="X26" s="41" t="s">
        <v>12</v>
      </c>
      <c r="Y26" s="41">
        <v>50</v>
      </c>
      <c r="Z26" s="39" t="s">
        <v>26</v>
      </c>
    </row>
    <row r="27" spans="1:26" ht="16.5" customHeight="1" thickTop="1" thickBot="1" x14ac:dyDescent="0.3">
      <c r="A27" s="14"/>
      <c r="B27" s="8"/>
      <c r="C27" s="40">
        <v>46055</v>
      </c>
      <c r="D27" s="36"/>
      <c r="E27" s="37" t="s">
        <v>14</v>
      </c>
      <c r="F27" s="37" t="s">
        <v>9</v>
      </c>
      <c r="G27" s="38">
        <v>250</v>
      </c>
      <c r="H27" s="39" t="s">
        <v>10</v>
      </c>
      <c r="I27" s="7"/>
      <c r="K27" s="64"/>
      <c r="L27" s="65"/>
      <c r="M27" s="65"/>
      <c r="N27" s="66"/>
      <c r="O27" s="69"/>
      <c r="P27" s="69"/>
      <c r="Q27" s="69"/>
      <c r="R27" s="70"/>
      <c r="T27" s="80"/>
      <c r="U27" s="54">
        <v>46068</v>
      </c>
      <c r="V27" s="41"/>
      <c r="W27" s="41" t="s">
        <v>15</v>
      </c>
      <c r="X27" s="41" t="s">
        <v>7</v>
      </c>
      <c r="Y27" s="41">
        <v>600</v>
      </c>
      <c r="Z27" s="39" t="s">
        <v>10</v>
      </c>
    </row>
    <row r="28" spans="1:26" ht="16.5" customHeight="1" thickTop="1" thickBot="1" x14ac:dyDescent="0.3">
      <c r="A28" s="14"/>
      <c r="B28" s="8"/>
      <c r="C28" s="40">
        <v>46055</v>
      </c>
      <c r="D28" s="36">
        <v>46056</v>
      </c>
      <c r="E28" s="37" t="s">
        <v>18</v>
      </c>
      <c r="F28" s="37" t="s">
        <v>19</v>
      </c>
      <c r="G28" s="38">
        <v>331.9</v>
      </c>
      <c r="H28" s="41" t="s">
        <v>26</v>
      </c>
      <c r="K28" s="61" t="s">
        <v>23</v>
      </c>
      <c r="L28" s="62"/>
      <c r="M28" s="62"/>
      <c r="N28" s="63"/>
      <c r="O28" s="67">
        <f>SUMIF(F:F,"Cofrinho",G:G)</f>
        <v>0</v>
      </c>
      <c r="P28" s="67"/>
      <c r="Q28" s="67"/>
      <c r="R28" s="68"/>
      <c r="T28" s="80"/>
      <c r="U28" s="54">
        <v>46082</v>
      </c>
      <c r="V28" s="41"/>
      <c r="W28" s="41" t="s">
        <v>21</v>
      </c>
      <c r="X28" s="41" t="s">
        <v>22</v>
      </c>
      <c r="Y28" s="41">
        <v>800</v>
      </c>
      <c r="Z28" s="39" t="s">
        <v>10</v>
      </c>
    </row>
    <row r="29" spans="1:26" ht="16.5" thickTop="1" thickBot="1" x14ac:dyDescent="0.3">
      <c r="A29" s="14"/>
      <c r="B29" s="8"/>
      <c r="C29" s="40">
        <v>46055</v>
      </c>
      <c r="D29" s="36">
        <v>46055</v>
      </c>
      <c r="E29" s="37" t="s">
        <v>20</v>
      </c>
      <c r="F29" s="37" t="s">
        <v>9</v>
      </c>
      <c r="G29" s="38">
        <v>835.82</v>
      </c>
      <c r="H29" s="41" t="s">
        <v>26</v>
      </c>
      <c r="K29" s="64"/>
      <c r="L29" s="65"/>
      <c r="M29" s="65"/>
      <c r="N29" s="66"/>
      <c r="O29" s="69"/>
      <c r="P29" s="69"/>
      <c r="Q29" s="69"/>
      <c r="R29" s="70"/>
      <c r="T29" s="80"/>
      <c r="U29" s="82">
        <v>46058</v>
      </c>
      <c r="V29" s="83"/>
      <c r="W29" s="47" t="s">
        <v>49</v>
      </c>
      <c r="X29" s="47" t="s">
        <v>12</v>
      </c>
      <c r="Y29" s="47">
        <v>50</v>
      </c>
      <c r="Z29" s="84" t="s">
        <v>10</v>
      </c>
    </row>
    <row r="30" spans="1:26" ht="16.5" thickTop="1" thickBot="1" x14ac:dyDescent="0.3">
      <c r="A30" s="14"/>
      <c r="B30" s="8"/>
      <c r="C30" s="40">
        <v>46055</v>
      </c>
      <c r="D30" s="36">
        <v>46055</v>
      </c>
      <c r="E30" s="37" t="s">
        <v>24</v>
      </c>
      <c r="F30" s="37" t="s">
        <v>9</v>
      </c>
      <c r="G30" s="38">
        <v>60</v>
      </c>
      <c r="H30" s="41" t="s">
        <v>26</v>
      </c>
      <c r="K30" s="32"/>
      <c r="L30" s="9"/>
      <c r="M30" s="9"/>
      <c r="N30" s="9"/>
      <c r="O30" s="9"/>
      <c r="P30" s="9"/>
      <c r="Q30" s="9"/>
      <c r="R30" s="33"/>
      <c r="T30" s="8"/>
      <c r="U30" s="49"/>
      <c r="V30" s="48"/>
      <c r="W30" s="41"/>
      <c r="X30" s="41"/>
      <c r="Y30" s="41"/>
      <c r="Z30" s="41"/>
    </row>
    <row r="31" spans="1:26" ht="16.5" thickTop="1" thickBot="1" x14ac:dyDescent="0.3">
      <c r="A31" s="14"/>
      <c r="B31" s="8"/>
      <c r="C31" s="40">
        <v>46055</v>
      </c>
      <c r="D31" s="36">
        <v>46055</v>
      </c>
      <c r="E31" s="37" t="s">
        <v>25</v>
      </c>
      <c r="F31" s="37" t="s">
        <v>9</v>
      </c>
      <c r="G31" s="38">
        <v>1292.3800000000001</v>
      </c>
      <c r="H31" s="41" t="s">
        <v>26</v>
      </c>
      <c r="J31" s="14"/>
      <c r="K31" s="9"/>
      <c r="L31" s="9"/>
      <c r="M31" s="9"/>
      <c r="N31" s="9"/>
      <c r="O31" s="9"/>
      <c r="P31" s="9"/>
      <c r="Q31" s="9"/>
      <c r="R31" s="34"/>
      <c r="T31" s="8"/>
      <c r="U31" s="49"/>
      <c r="V31" s="48"/>
      <c r="W31" s="41"/>
      <c r="X31" s="41"/>
      <c r="Y31" s="41"/>
      <c r="Z31" s="41"/>
    </row>
    <row r="32" spans="1:26" ht="16.5" thickTop="1" thickBot="1" x14ac:dyDescent="0.3">
      <c r="A32" s="14"/>
      <c r="B32" s="8"/>
      <c r="C32" s="40">
        <v>46056</v>
      </c>
      <c r="D32" s="36">
        <v>46056</v>
      </c>
      <c r="E32" s="37" t="s">
        <v>27</v>
      </c>
      <c r="F32" s="37" t="s">
        <v>9</v>
      </c>
      <c r="G32" s="38">
        <v>195</v>
      </c>
      <c r="H32" s="41" t="s">
        <v>26</v>
      </c>
      <c r="K32" s="61" t="s">
        <v>34</v>
      </c>
      <c r="L32" s="62"/>
      <c r="M32" s="62"/>
      <c r="N32" s="62"/>
      <c r="O32" s="71">
        <v>2.5</v>
      </c>
      <c r="P32" s="72"/>
      <c r="Q32" s="72"/>
      <c r="R32" s="73"/>
      <c r="T32" s="8"/>
      <c r="U32" s="49"/>
      <c r="V32" s="41"/>
      <c r="W32" s="41"/>
      <c r="X32" s="41"/>
      <c r="Y32" s="41"/>
      <c r="Z32" s="41"/>
    </row>
    <row r="33" spans="1:26" ht="16.5" thickTop="1" thickBot="1" x14ac:dyDescent="0.3">
      <c r="A33" s="14"/>
      <c r="B33" s="8"/>
      <c r="C33" s="40">
        <v>46055</v>
      </c>
      <c r="D33" s="36">
        <v>46055</v>
      </c>
      <c r="E33" s="37" t="s">
        <v>28</v>
      </c>
      <c r="F33" s="37" t="s">
        <v>9</v>
      </c>
      <c r="G33" s="38">
        <v>9</v>
      </c>
      <c r="H33" s="41" t="s">
        <v>26</v>
      </c>
      <c r="K33" s="64"/>
      <c r="L33" s="65"/>
      <c r="M33" s="65"/>
      <c r="N33" s="65"/>
      <c r="O33" s="74"/>
      <c r="P33" s="75"/>
      <c r="Q33" s="75"/>
      <c r="R33" s="76"/>
      <c r="T33" s="8"/>
      <c r="U33" s="49"/>
      <c r="V33" s="41"/>
      <c r="W33" s="41"/>
      <c r="X33" s="41"/>
      <c r="Y33" s="41"/>
      <c r="Z33" s="41"/>
    </row>
    <row r="34" spans="1:26" ht="16.5" thickTop="1" thickBot="1" x14ac:dyDescent="0.3">
      <c r="A34" s="14"/>
      <c r="B34" s="8"/>
      <c r="C34" s="40">
        <v>46055</v>
      </c>
      <c r="D34" s="36">
        <v>46056</v>
      </c>
      <c r="E34" s="37" t="s">
        <v>33</v>
      </c>
      <c r="F34" s="37" t="s">
        <v>19</v>
      </c>
      <c r="G34" s="38">
        <v>54.11</v>
      </c>
      <c r="H34" s="41" t="s">
        <v>26</v>
      </c>
      <c r="O34" s="2" t="s">
        <v>43</v>
      </c>
      <c r="P34" s="2"/>
      <c r="Q34" s="2"/>
      <c r="R34" s="2"/>
      <c r="T34" s="8"/>
      <c r="U34" s="49"/>
      <c r="V34" s="41"/>
      <c r="W34" s="41"/>
      <c r="X34" s="41"/>
      <c r="Y34" s="41"/>
      <c r="Z34" s="41"/>
    </row>
    <row r="35" spans="1:26" ht="16.5" thickTop="1" thickBot="1" x14ac:dyDescent="0.3">
      <c r="A35" s="14"/>
      <c r="B35" s="8"/>
      <c r="C35" s="40">
        <v>46055</v>
      </c>
      <c r="D35" s="36">
        <v>46056</v>
      </c>
      <c r="E35" s="37" t="s">
        <v>35</v>
      </c>
      <c r="F35" s="37" t="s">
        <v>36</v>
      </c>
      <c r="G35" s="38">
        <v>6.32</v>
      </c>
      <c r="H35" s="41" t="s">
        <v>26</v>
      </c>
      <c r="T35" s="8"/>
      <c r="U35" s="49"/>
      <c r="V35" s="41"/>
      <c r="W35" s="41"/>
      <c r="X35" s="41"/>
      <c r="Y35" s="41"/>
      <c r="Z35" s="41"/>
    </row>
    <row r="36" spans="1:26" ht="16.5" thickTop="1" thickBot="1" x14ac:dyDescent="0.3">
      <c r="A36" s="14"/>
      <c r="B36" s="8"/>
      <c r="C36" s="40">
        <v>46073</v>
      </c>
      <c r="D36" s="42"/>
      <c r="E36" s="37" t="s">
        <v>37</v>
      </c>
      <c r="F36" s="37" t="s">
        <v>36</v>
      </c>
      <c r="G36" s="38">
        <v>86.05</v>
      </c>
      <c r="H36" s="41" t="s">
        <v>10</v>
      </c>
      <c r="T36" s="8"/>
      <c r="U36" s="49"/>
      <c r="V36" s="41"/>
      <c r="W36" s="41"/>
      <c r="X36" s="41"/>
      <c r="Y36" s="41"/>
      <c r="Z36" s="41"/>
    </row>
    <row r="37" spans="1:26" ht="16.5" thickTop="1" thickBot="1" x14ac:dyDescent="0.3">
      <c r="A37" s="14"/>
      <c r="B37" s="8"/>
      <c r="C37" s="40">
        <v>46056</v>
      </c>
      <c r="D37" s="36">
        <v>46056</v>
      </c>
      <c r="E37" s="37" t="s">
        <v>35</v>
      </c>
      <c r="F37" s="37" t="s">
        <v>36</v>
      </c>
      <c r="G37" s="38">
        <v>7.92</v>
      </c>
      <c r="H37" s="41" t="s">
        <v>26</v>
      </c>
      <c r="T37" s="8"/>
      <c r="U37" s="49"/>
      <c r="V37" s="41"/>
      <c r="W37" s="41"/>
      <c r="X37" s="41"/>
      <c r="Y37" s="41"/>
      <c r="Z37" s="41"/>
    </row>
    <row r="38" spans="1:26" ht="16.5" thickTop="1" thickBot="1" x14ac:dyDescent="0.3">
      <c r="A38" s="15"/>
      <c r="B38" s="8"/>
      <c r="C38" s="40">
        <v>46057</v>
      </c>
      <c r="D38" s="36">
        <v>46057</v>
      </c>
      <c r="E38" s="37" t="s">
        <v>38</v>
      </c>
      <c r="F38" s="37" t="s">
        <v>39</v>
      </c>
      <c r="G38" s="38">
        <v>2.96</v>
      </c>
      <c r="H38" s="41" t="s">
        <v>26</v>
      </c>
      <c r="T38" s="8"/>
      <c r="U38" s="49"/>
      <c r="V38" s="41"/>
      <c r="W38" s="41"/>
      <c r="X38" s="41"/>
      <c r="Y38" s="41"/>
      <c r="Z38" s="41"/>
    </row>
    <row r="39" spans="1:26" ht="16.5" thickTop="1" thickBot="1" x14ac:dyDescent="0.3">
      <c r="A39" s="14"/>
      <c r="B39" s="8"/>
      <c r="C39" s="40">
        <v>46057</v>
      </c>
      <c r="D39" s="36">
        <v>46057</v>
      </c>
      <c r="E39" s="37" t="s">
        <v>38</v>
      </c>
      <c r="F39" s="37" t="s">
        <v>39</v>
      </c>
      <c r="G39" s="38">
        <v>6.9</v>
      </c>
      <c r="H39" s="41" t="s">
        <v>26</v>
      </c>
      <c r="T39" s="8"/>
      <c r="U39" s="49"/>
      <c r="V39" s="41"/>
      <c r="W39" s="41"/>
      <c r="X39" s="41"/>
      <c r="Y39" s="41"/>
      <c r="Z39" s="41"/>
    </row>
    <row r="40" spans="1:26" ht="16.5" thickTop="1" thickBot="1" x14ac:dyDescent="0.3">
      <c r="A40" s="14"/>
      <c r="B40" s="8"/>
      <c r="C40" s="40">
        <v>46057</v>
      </c>
      <c r="D40" s="36">
        <v>46057</v>
      </c>
      <c r="E40" s="37" t="s">
        <v>28</v>
      </c>
      <c r="F40" s="37" t="s">
        <v>39</v>
      </c>
      <c r="G40" s="38">
        <v>11</v>
      </c>
      <c r="H40" s="41" t="s">
        <v>26</v>
      </c>
      <c r="T40" s="8"/>
      <c r="U40" s="49"/>
      <c r="V40" s="41"/>
      <c r="W40" s="41"/>
      <c r="X40" s="41"/>
      <c r="Y40" s="41"/>
      <c r="Z40" s="41"/>
    </row>
    <row r="41" spans="1:26" ht="16.5" thickTop="1" thickBot="1" x14ac:dyDescent="0.3">
      <c r="A41" s="14"/>
      <c r="B41" s="8"/>
      <c r="C41" s="40">
        <v>46057</v>
      </c>
      <c r="D41" s="36">
        <v>46058</v>
      </c>
      <c r="E41" s="37" t="s">
        <v>38</v>
      </c>
      <c r="F41" s="37" t="s">
        <v>39</v>
      </c>
      <c r="G41" s="38">
        <v>6.9</v>
      </c>
      <c r="H41" s="41" t="s">
        <v>26</v>
      </c>
      <c r="T41" s="8"/>
      <c r="U41" s="49"/>
      <c r="V41" s="41"/>
      <c r="W41" s="41"/>
      <c r="X41" s="41"/>
      <c r="Y41" s="41"/>
      <c r="Z41" s="41"/>
    </row>
    <row r="42" spans="1:26" ht="16.5" thickTop="1" thickBot="1" x14ac:dyDescent="0.3">
      <c r="A42" s="14"/>
      <c r="B42" s="8"/>
      <c r="C42" s="40">
        <v>46059</v>
      </c>
      <c r="D42" s="36">
        <v>46059</v>
      </c>
      <c r="E42" s="37" t="s">
        <v>40</v>
      </c>
      <c r="F42" s="37" t="s">
        <v>9</v>
      </c>
      <c r="G42" s="38">
        <v>32</v>
      </c>
      <c r="H42" s="41" t="s">
        <v>26</v>
      </c>
      <c r="T42" s="8"/>
      <c r="U42" s="49"/>
      <c r="V42" s="41"/>
      <c r="W42" s="41"/>
      <c r="X42" s="41"/>
      <c r="Y42" s="41"/>
      <c r="Z42" s="41"/>
    </row>
    <row r="43" spans="1:26" ht="16.5" thickTop="1" thickBot="1" x14ac:dyDescent="0.3">
      <c r="A43" s="14"/>
      <c r="B43" s="8"/>
      <c r="C43" s="40">
        <v>46059</v>
      </c>
      <c r="D43" s="36">
        <v>46059</v>
      </c>
      <c r="E43" s="37" t="s">
        <v>41</v>
      </c>
      <c r="F43" s="37" t="s">
        <v>9</v>
      </c>
      <c r="G43" s="38">
        <v>10.95</v>
      </c>
      <c r="H43" s="41" t="s">
        <v>26</v>
      </c>
      <c r="T43" s="8"/>
      <c r="U43" s="49"/>
      <c r="V43" s="41"/>
      <c r="W43" s="41"/>
      <c r="X43" s="41"/>
      <c r="Y43" s="41"/>
      <c r="Z43" s="41"/>
    </row>
    <row r="44" spans="1:26" ht="16.5" thickTop="1" thickBot="1" x14ac:dyDescent="0.3">
      <c r="A44" s="14"/>
      <c r="B44" s="8"/>
      <c r="C44" s="40">
        <v>46059</v>
      </c>
      <c r="D44" s="36">
        <v>46059</v>
      </c>
      <c r="E44" s="37" t="s">
        <v>42</v>
      </c>
      <c r="F44" s="37" t="s">
        <v>9</v>
      </c>
      <c r="G44" s="38">
        <v>6.5</v>
      </c>
      <c r="H44" s="41" t="s">
        <v>26</v>
      </c>
      <c r="T44" s="8"/>
      <c r="U44" s="49"/>
      <c r="V44" s="41"/>
      <c r="W44" s="41"/>
      <c r="X44" s="41"/>
      <c r="Y44" s="41"/>
      <c r="Z44" s="41"/>
    </row>
    <row r="45" spans="1:26" ht="16.5" thickTop="1" thickBot="1" x14ac:dyDescent="0.3">
      <c r="A45" s="14"/>
      <c r="B45" s="8"/>
      <c r="C45" s="43">
        <v>46060</v>
      </c>
      <c r="D45" s="79">
        <v>46060</v>
      </c>
      <c r="E45" s="45" t="s">
        <v>44</v>
      </c>
      <c r="F45" s="45" t="s">
        <v>9</v>
      </c>
      <c r="G45" s="46">
        <v>1</v>
      </c>
      <c r="H45" s="47" t="s">
        <v>26</v>
      </c>
      <c r="T45" s="8"/>
      <c r="U45" s="49"/>
      <c r="V45" s="41"/>
      <c r="W45" s="41"/>
      <c r="X45" s="41"/>
      <c r="Y45" s="41"/>
      <c r="Z45" s="41"/>
    </row>
    <row r="46" spans="1:26" ht="16.5" thickTop="1" thickBot="1" x14ac:dyDescent="0.3">
      <c r="A46" s="14"/>
      <c r="B46" s="8"/>
      <c r="C46" s="43">
        <v>46060</v>
      </c>
      <c r="D46" s="79">
        <v>46060</v>
      </c>
      <c r="E46" s="45" t="s">
        <v>48</v>
      </c>
      <c r="F46" s="45" t="s">
        <v>9</v>
      </c>
      <c r="G46" s="46">
        <v>6.43</v>
      </c>
      <c r="H46" s="47" t="s">
        <v>26</v>
      </c>
      <c r="T46" s="8"/>
      <c r="U46" s="49"/>
      <c r="V46" s="41"/>
      <c r="W46" s="41"/>
      <c r="X46" s="41"/>
      <c r="Y46" s="41"/>
      <c r="Z46" s="41"/>
    </row>
    <row r="47" spans="1:26" ht="16.5" thickTop="1" thickBot="1" x14ac:dyDescent="0.3">
      <c r="A47" s="14"/>
      <c r="B47" s="8"/>
      <c r="C47" s="40"/>
      <c r="D47" s="36"/>
      <c r="E47" s="37"/>
      <c r="F47" s="37"/>
      <c r="G47" s="38"/>
      <c r="H47" s="41"/>
      <c r="T47" s="8"/>
      <c r="U47" s="49"/>
      <c r="V47" s="41"/>
      <c r="W47" s="41"/>
      <c r="X47" s="41"/>
      <c r="Y47" s="41"/>
      <c r="Z47" s="41"/>
    </row>
    <row r="48" spans="1:26" ht="16.5" thickTop="1" thickBot="1" x14ac:dyDescent="0.3">
      <c r="A48" s="14"/>
      <c r="B48" s="8"/>
      <c r="C48" s="40"/>
      <c r="D48" s="36"/>
      <c r="E48" s="37"/>
      <c r="F48" s="37"/>
      <c r="G48" s="38"/>
      <c r="H48" s="41"/>
      <c r="T48" s="8"/>
      <c r="U48" s="49"/>
      <c r="V48" s="41"/>
      <c r="W48" s="41"/>
      <c r="X48" s="41"/>
      <c r="Y48" s="41"/>
      <c r="Z48" s="41"/>
    </row>
    <row r="49" spans="1:26" ht="16.5" thickTop="1" thickBot="1" x14ac:dyDescent="0.3">
      <c r="A49" s="14"/>
      <c r="B49" s="8"/>
      <c r="C49" s="40"/>
      <c r="D49" s="36"/>
      <c r="E49" s="37"/>
      <c r="F49" s="37"/>
      <c r="G49" s="38"/>
      <c r="H49" s="41"/>
      <c r="T49" s="8"/>
      <c r="U49" s="49"/>
      <c r="V49" s="41"/>
      <c r="W49" s="41"/>
      <c r="X49" s="41"/>
      <c r="Y49" s="41"/>
      <c r="Z49" s="41"/>
    </row>
    <row r="50" spans="1:26" ht="16.5" thickTop="1" thickBot="1" x14ac:dyDescent="0.3">
      <c r="A50" s="14"/>
      <c r="B50" s="8"/>
      <c r="C50" s="40"/>
      <c r="D50" s="42"/>
      <c r="E50" s="37"/>
      <c r="F50" s="37"/>
      <c r="G50" s="38"/>
      <c r="H50" s="41"/>
      <c r="T50" s="8"/>
      <c r="U50" s="49"/>
      <c r="V50" s="41"/>
      <c r="W50" s="41"/>
      <c r="X50" s="41"/>
      <c r="Y50" s="41"/>
      <c r="Z50" s="41"/>
    </row>
    <row r="51" spans="1:26" ht="16.5" thickTop="1" thickBot="1" x14ac:dyDescent="0.3">
      <c r="A51" s="14"/>
      <c r="B51" s="8"/>
      <c r="C51" s="40"/>
      <c r="D51" s="42"/>
      <c r="E51" s="37"/>
      <c r="F51" s="37"/>
      <c r="G51" s="38"/>
      <c r="H51" s="41"/>
      <c r="T51" s="8"/>
      <c r="U51" s="49"/>
      <c r="V51" s="41"/>
      <c r="W51" s="41"/>
      <c r="X51" s="41"/>
      <c r="Y51" s="41"/>
      <c r="Z51" s="41"/>
    </row>
    <row r="52" spans="1:26" ht="16.5" thickTop="1" thickBot="1" x14ac:dyDescent="0.3">
      <c r="A52" s="14"/>
      <c r="B52" s="8"/>
      <c r="C52" s="40"/>
      <c r="D52" s="42"/>
      <c r="E52" s="37"/>
      <c r="F52" s="37"/>
      <c r="G52" s="38"/>
      <c r="H52" s="41"/>
      <c r="T52" s="8"/>
      <c r="U52" s="49"/>
      <c r="V52" s="41"/>
      <c r="W52" s="41"/>
      <c r="X52" s="41"/>
      <c r="Y52" s="41"/>
      <c r="Z52" s="41"/>
    </row>
    <row r="53" spans="1:26" ht="16.5" thickTop="1" thickBot="1" x14ac:dyDescent="0.3">
      <c r="A53" s="14"/>
      <c r="B53" s="8"/>
      <c r="C53" s="40"/>
      <c r="D53" s="42"/>
      <c r="E53" s="37"/>
      <c r="F53" s="37"/>
      <c r="G53" s="38"/>
      <c r="H53" s="41"/>
      <c r="T53" s="8"/>
      <c r="U53" s="49"/>
      <c r="V53" s="41"/>
      <c r="W53" s="41"/>
      <c r="X53" s="41"/>
      <c r="Y53" s="41"/>
      <c r="Z53" s="41"/>
    </row>
    <row r="54" spans="1:26" ht="16.5" thickTop="1" thickBot="1" x14ac:dyDescent="0.3">
      <c r="A54" s="14"/>
      <c r="B54" s="8"/>
      <c r="C54" s="40"/>
      <c r="D54" s="42"/>
      <c r="E54" s="37"/>
      <c r="F54" s="37"/>
      <c r="G54" s="38"/>
      <c r="H54" s="41"/>
      <c r="T54" s="8"/>
      <c r="U54" s="49"/>
      <c r="V54" s="41"/>
      <c r="W54" s="41"/>
      <c r="X54" s="41"/>
      <c r="Y54" s="41"/>
      <c r="Z54" s="41"/>
    </row>
    <row r="55" spans="1:26" ht="16.5" thickTop="1" thickBot="1" x14ac:dyDescent="0.3">
      <c r="A55" s="14"/>
      <c r="B55" s="8"/>
      <c r="C55" s="40"/>
      <c r="D55" s="42"/>
      <c r="E55" s="37"/>
      <c r="F55" s="37"/>
      <c r="G55" s="38"/>
      <c r="H55" s="41"/>
      <c r="T55" s="8"/>
      <c r="U55" s="49"/>
      <c r="V55" s="41"/>
      <c r="W55" s="41"/>
      <c r="X55" s="41"/>
      <c r="Y55" s="41"/>
      <c r="Z55" s="41"/>
    </row>
    <row r="56" spans="1:26" ht="16.5" thickTop="1" thickBot="1" x14ac:dyDescent="0.3">
      <c r="A56" s="14"/>
      <c r="B56" s="8"/>
      <c r="C56" s="40"/>
      <c r="D56" s="42"/>
      <c r="E56" s="37"/>
      <c r="F56" s="37"/>
      <c r="G56" s="38"/>
      <c r="H56" s="41"/>
      <c r="T56" s="8"/>
      <c r="U56" s="49"/>
      <c r="V56" s="41"/>
      <c r="W56" s="41"/>
      <c r="X56" s="41"/>
      <c r="Y56" s="41"/>
      <c r="Z56" s="41"/>
    </row>
    <row r="57" spans="1:26" ht="16.5" thickTop="1" thickBot="1" x14ac:dyDescent="0.3">
      <c r="A57" s="14"/>
      <c r="B57" s="8"/>
      <c r="C57" s="40"/>
      <c r="D57" s="42"/>
      <c r="E57" s="37"/>
      <c r="F57" s="37"/>
      <c r="G57" s="38"/>
      <c r="H57" s="41"/>
      <c r="T57" s="8"/>
      <c r="U57" s="49"/>
      <c r="V57" s="41"/>
      <c r="W57" s="41"/>
      <c r="X57" s="41"/>
      <c r="Y57" s="41"/>
      <c r="Z57" s="41"/>
    </row>
    <row r="58" spans="1:26" ht="16.5" thickTop="1" thickBot="1" x14ac:dyDescent="0.3">
      <c r="A58" s="16"/>
      <c r="B58" s="8"/>
      <c r="C58" s="40"/>
      <c r="D58" s="42"/>
      <c r="E58" s="37"/>
      <c r="F58" s="37"/>
      <c r="G58" s="38"/>
      <c r="H58" s="41"/>
      <c r="T58" s="8"/>
      <c r="U58" s="49"/>
      <c r="V58" s="41"/>
      <c r="W58" s="41"/>
      <c r="X58" s="41"/>
      <c r="Y58" s="41"/>
      <c r="Z58" s="41"/>
    </row>
    <row r="59" spans="1:26" ht="16.5" thickTop="1" thickBot="1" x14ac:dyDescent="0.3">
      <c r="A59" s="17"/>
      <c r="B59" s="8"/>
      <c r="C59" s="40"/>
      <c r="D59" s="42"/>
      <c r="E59" s="37"/>
      <c r="F59" s="37"/>
      <c r="G59" s="38"/>
      <c r="H59" s="41"/>
      <c r="T59" s="8"/>
      <c r="U59" s="49"/>
      <c r="V59" s="41"/>
      <c r="W59" s="41"/>
      <c r="X59" s="41"/>
      <c r="Y59" s="41"/>
      <c r="Z59" s="41"/>
    </row>
    <row r="60" spans="1:26" ht="16.5" thickTop="1" thickBot="1" x14ac:dyDescent="0.3">
      <c r="A60" s="17"/>
      <c r="B60" s="8"/>
      <c r="C60" s="40"/>
      <c r="D60" s="42"/>
      <c r="E60" s="37"/>
      <c r="F60" s="37"/>
      <c r="G60" s="38"/>
      <c r="H60" s="41"/>
      <c r="T60" s="8"/>
      <c r="U60" s="49"/>
      <c r="V60" s="41"/>
      <c r="W60" s="41"/>
      <c r="X60" s="41"/>
      <c r="Y60" s="41"/>
      <c r="Z60" s="41"/>
    </row>
    <row r="61" spans="1:26" ht="16.5" thickTop="1" thickBot="1" x14ac:dyDescent="0.3">
      <c r="A61" s="17"/>
      <c r="B61" s="8"/>
      <c r="C61" s="40"/>
      <c r="D61" s="42"/>
      <c r="E61" s="37"/>
      <c r="F61" s="37"/>
      <c r="G61" s="38"/>
      <c r="H61" s="41"/>
      <c r="T61" s="8"/>
      <c r="U61" s="49"/>
      <c r="V61" s="41"/>
      <c r="W61" s="41"/>
      <c r="X61" s="41"/>
      <c r="Y61" s="41"/>
      <c r="Z61" s="41"/>
    </row>
    <row r="62" spans="1:26" ht="16.5" thickTop="1" thickBot="1" x14ac:dyDescent="0.3">
      <c r="A62" s="17"/>
      <c r="B62" s="8"/>
      <c r="C62" s="40"/>
      <c r="D62" s="42"/>
      <c r="E62" s="37"/>
      <c r="F62" s="37"/>
      <c r="G62" s="38"/>
      <c r="H62" s="41"/>
      <c r="T62" s="8"/>
      <c r="U62" s="49"/>
      <c r="V62" s="41"/>
      <c r="W62" s="41"/>
      <c r="X62" s="41"/>
      <c r="Y62" s="41"/>
      <c r="Z62" s="41"/>
    </row>
    <row r="63" spans="1:26" ht="16.5" thickTop="1" thickBot="1" x14ac:dyDescent="0.3">
      <c r="A63" s="17"/>
      <c r="B63" s="8"/>
      <c r="C63" s="40"/>
      <c r="D63" s="42"/>
      <c r="E63" s="37"/>
      <c r="F63" s="37"/>
      <c r="G63" s="38"/>
      <c r="H63" s="41"/>
      <c r="T63" s="8"/>
      <c r="U63" s="49"/>
      <c r="V63" s="41"/>
      <c r="W63" s="41"/>
      <c r="X63" s="41"/>
      <c r="Y63" s="41"/>
      <c r="Z63" s="41"/>
    </row>
    <row r="64" spans="1:26" ht="16.5" thickTop="1" thickBot="1" x14ac:dyDescent="0.3">
      <c r="A64" s="17"/>
      <c r="B64" s="8"/>
      <c r="C64" s="40"/>
      <c r="D64" s="42"/>
      <c r="E64" s="37"/>
      <c r="F64" s="37"/>
      <c r="G64" s="38"/>
      <c r="H64" s="41"/>
      <c r="T64" s="8"/>
      <c r="U64" s="49"/>
      <c r="V64" s="41"/>
      <c r="W64" s="41"/>
      <c r="X64" s="41"/>
      <c r="Y64" s="41"/>
      <c r="Z64" s="41"/>
    </row>
    <row r="65" spans="1:26" ht="16.5" thickTop="1" thickBot="1" x14ac:dyDescent="0.3">
      <c r="A65" s="17"/>
      <c r="B65" s="8"/>
      <c r="C65" s="40"/>
      <c r="D65" s="42"/>
      <c r="E65" s="37"/>
      <c r="F65" s="37"/>
      <c r="G65" s="38"/>
      <c r="H65" s="41"/>
      <c r="T65" s="8"/>
      <c r="U65" s="49"/>
      <c r="V65" s="41"/>
      <c r="W65" s="41"/>
      <c r="X65" s="41"/>
      <c r="Y65" s="41"/>
      <c r="Z65" s="41"/>
    </row>
    <row r="66" spans="1:26" ht="16.5" thickTop="1" thickBot="1" x14ac:dyDescent="0.3">
      <c r="A66" s="17"/>
      <c r="B66" s="8"/>
      <c r="C66" s="40"/>
      <c r="D66" s="42"/>
      <c r="E66" s="37"/>
      <c r="F66" s="37"/>
      <c r="G66" s="38"/>
      <c r="H66" s="41"/>
      <c r="T66" s="8"/>
      <c r="U66" s="49"/>
      <c r="V66" s="41"/>
      <c r="W66" s="41"/>
      <c r="X66" s="41"/>
      <c r="Y66" s="41"/>
      <c r="Z66" s="41"/>
    </row>
    <row r="67" spans="1:26" ht="16.5" thickTop="1" thickBot="1" x14ac:dyDescent="0.3">
      <c r="A67" s="17"/>
      <c r="B67" s="8"/>
      <c r="C67" s="40"/>
      <c r="D67" s="42"/>
      <c r="E67" s="37"/>
      <c r="F67" s="37"/>
      <c r="G67" s="38"/>
      <c r="H67" s="41"/>
      <c r="T67" s="8"/>
      <c r="U67" s="49"/>
      <c r="V67" s="41"/>
      <c r="W67" s="41"/>
      <c r="X67" s="41"/>
      <c r="Y67" s="41"/>
      <c r="Z67" s="41"/>
    </row>
    <row r="68" spans="1:26" ht="16.5" thickTop="1" thickBot="1" x14ac:dyDescent="0.3">
      <c r="A68" s="17"/>
      <c r="B68" s="8"/>
      <c r="C68" s="40"/>
      <c r="D68" s="42"/>
      <c r="E68" s="37"/>
      <c r="F68" s="37"/>
      <c r="G68" s="38"/>
      <c r="H68" s="41"/>
      <c r="T68" s="8"/>
      <c r="U68" s="49"/>
      <c r="V68" s="41"/>
      <c r="W68" s="41"/>
      <c r="X68" s="41"/>
      <c r="Y68" s="41"/>
      <c r="Z68" s="41"/>
    </row>
    <row r="69" spans="1:26" ht="16.5" thickTop="1" thickBot="1" x14ac:dyDescent="0.3">
      <c r="A69" s="17"/>
      <c r="B69" s="8"/>
      <c r="C69" s="40"/>
      <c r="D69" s="42"/>
      <c r="E69" s="37"/>
      <c r="F69" s="37"/>
      <c r="G69" s="38"/>
      <c r="H69" s="41"/>
      <c r="T69" s="8"/>
      <c r="U69" s="49"/>
      <c r="V69" s="41"/>
      <c r="W69" s="41"/>
      <c r="X69" s="41"/>
      <c r="Y69" s="41"/>
      <c r="Z69" s="41"/>
    </row>
    <row r="70" spans="1:26" ht="16.5" thickTop="1" thickBot="1" x14ac:dyDescent="0.3">
      <c r="A70" s="17"/>
      <c r="B70" s="8"/>
      <c r="C70" s="40"/>
      <c r="D70" s="42"/>
      <c r="E70" s="37"/>
      <c r="F70" s="37"/>
      <c r="G70" s="38"/>
      <c r="H70" s="41"/>
      <c r="T70" s="8"/>
      <c r="U70" s="49"/>
      <c r="V70" s="41"/>
      <c r="W70" s="41"/>
      <c r="X70" s="41"/>
      <c r="Y70" s="41"/>
      <c r="Z70" s="41"/>
    </row>
    <row r="71" spans="1:26" ht="16.5" thickTop="1" thickBot="1" x14ac:dyDescent="0.3">
      <c r="A71" s="17"/>
      <c r="B71" s="8"/>
      <c r="C71" s="40"/>
      <c r="D71" s="42"/>
      <c r="E71" s="37"/>
      <c r="F71" s="37"/>
      <c r="G71" s="38"/>
      <c r="H71" s="41"/>
      <c r="T71" s="8"/>
      <c r="U71" s="49"/>
      <c r="V71" s="41"/>
      <c r="W71" s="41"/>
      <c r="X71" s="41"/>
      <c r="Y71" s="41"/>
      <c r="Z71" s="41"/>
    </row>
    <row r="72" spans="1:26" ht="16.5" thickTop="1" thickBot="1" x14ac:dyDescent="0.3">
      <c r="A72" s="17"/>
      <c r="B72" s="8"/>
      <c r="C72" s="40"/>
      <c r="D72" s="42"/>
      <c r="E72" s="37"/>
      <c r="F72" s="37"/>
      <c r="G72" s="38"/>
      <c r="H72" s="41"/>
      <c r="T72" s="8"/>
      <c r="U72" s="49"/>
      <c r="V72" s="41"/>
      <c r="W72" s="41"/>
      <c r="X72" s="41"/>
      <c r="Y72" s="41"/>
      <c r="Z72" s="41"/>
    </row>
    <row r="73" spans="1:26" ht="16.5" thickTop="1" thickBot="1" x14ac:dyDescent="0.3">
      <c r="A73" s="17"/>
      <c r="B73" s="8"/>
      <c r="C73" s="40"/>
      <c r="D73" s="42"/>
      <c r="E73" s="37"/>
      <c r="F73" s="37"/>
      <c r="G73" s="38"/>
      <c r="H73" s="41"/>
      <c r="T73" s="8"/>
      <c r="U73" s="49"/>
      <c r="V73" s="41"/>
      <c r="W73" s="41"/>
      <c r="X73" s="41"/>
      <c r="Y73" s="41"/>
      <c r="Z73" s="41"/>
    </row>
    <row r="74" spans="1:26" ht="16.5" thickTop="1" thickBot="1" x14ac:dyDescent="0.3">
      <c r="A74" s="17"/>
      <c r="B74" s="8"/>
      <c r="C74" s="40"/>
      <c r="D74" s="42"/>
      <c r="E74" s="37"/>
      <c r="F74" s="37"/>
      <c r="G74" s="38"/>
      <c r="H74" s="41"/>
      <c r="T74" s="8"/>
      <c r="U74" s="49"/>
      <c r="V74" s="41"/>
      <c r="W74" s="41"/>
      <c r="X74" s="41"/>
      <c r="Y74" s="41"/>
      <c r="Z74" s="41"/>
    </row>
    <row r="75" spans="1:26" ht="16.5" thickTop="1" thickBot="1" x14ac:dyDescent="0.3">
      <c r="A75" s="17"/>
      <c r="B75" s="8"/>
      <c r="C75" s="40"/>
      <c r="D75" s="42"/>
      <c r="E75" s="37"/>
      <c r="F75" s="37"/>
      <c r="G75" s="38"/>
      <c r="H75" s="41"/>
      <c r="T75" s="8"/>
      <c r="U75" s="49"/>
      <c r="V75" s="41"/>
      <c r="W75" s="41"/>
      <c r="X75" s="41"/>
      <c r="Y75" s="41"/>
      <c r="Z75" s="41"/>
    </row>
    <row r="76" spans="1:26" ht="16.5" thickTop="1" thickBot="1" x14ac:dyDescent="0.3">
      <c r="A76" s="17"/>
      <c r="B76" s="8"/>
      <c r="C76" s="40"/>
      <c r="D76" s="42"/>
      <c r="E76" s="37"/>
      <c r="F76" s="37"/>
      <c r="G76" s="38"/>
      <c r="H76" s="41"/>
      <c r="T76" s="8"/>
      <c r="U76" s="49"/>
      <c r="V76" s="41"/>
      <c r="W76" s="41"/>
      <c r="X76" s="41"/>
      <c r="Y76" s="41"/>
      <c r="Z76" s="41"/>
    </row>
    <row r="77" spans="1:26" ht="16.5" thickTop="1" thickBot="1" x14ac:dyDescent="0.3">
      <c r="A77" s="17"/>
      <c r="B77" s="8"/>
      <c r="C77" s="40"/>
      <c r="D77" s="42"/>
      <c r="E77" s="37"/>
      <c r="F77" s="37"/>
      <c r="G77" s="38"/>
      <c r="H77" s="41"/>
      <c r="T77" s="8"/>
      <c r="U77" s="49"/>
      <c r="V77" s="41"/>
      <c r="W77" s="41"/>
      <c r="X77" s="41"/>
      <c r="Y77" s="41"/>
      <c r="Z77" s="41"/>
    </row>
    <row r="78" spans="1:26" ht="16.5" thickTop="1" thickBot="1" x14ac:dyDescent="0.3">
      <c r="A78" s="17"/>
      <c r="B78" s="8"/>
      <c r="C78" s="40"/>
      <c r="D78" s="42"/>
      <c r="E78" s="37"/>
      <c r="F78" s="37"/>
      <c r="G78" s="38"/>
      <c r="H78" s="41"/>
      <c r="T78" s="8"/>
      <c r="U78" s="49"/>
      <c r="V78" s="41"/>
      <c r="W78" s="41"/>
      <c r="X78" s="41"/>
      <c r="Y78" s="41"/>
      <c r="Z78" s="41"/>
    </row>
    <row r="79" spans="1:26" ht="16.5" thickTop="1" thickBot="1" x14ac:dyDescent="0.3">
      <c r="A79" s="17"/>
      <c r="B79" s="8"/>
      <c r="C79" s="40"/>
      <c r="D79" s="42"/>
      <c r="E79" s="37"/>
      <c r="F79" s="37"/>
      <c r="G79" s="38"/>
      <c r="H79" s="41"/>
      <c r="T79" s="8"/>
      <c r="U79" s="49"/>
      <c r="V79" s="41"/>
      <c r="W79" s="41"/>
      <c r="X79" s="41"/>
      <c r="Y79" s="41"/>
      <c r="Z79" s="41"/>
    </row>
    <row r="80" spans="1:26" ht="16.5" thickTop="1" thickBot="1" x14ac:dyDescent="0.3">
      <c r="A80" s="17"/>
      <c r="B80" s="8"/>
      <c r="C80" s="40"/>
      <c r="D80" s="42"/>
      <c r="E80" s="37"/>
      <c r="F80" s="37"/>
      <c r="G80" s="38"/>
      <c r="H80" s="41"/>
      <c r="T80" s="8"/>
      <c r="U80" s="49"/>
      <c r="V80" s="41"/>
      <c r="W80" s="41"/>
      <c r="X80" s="41"/>
      <c r="Y80" s="41"/>
      <c r="Z80" s="41"/>
    </row>
    <row r="81" spans="1:26" ht="16.5" thickTop="1" thickBot="1" x14ac:dyDescent="0.3">
      <c r="A81" s="17"/>
      <c r="B81" s="8"/>
      <c r="C81" s="40"/>
      <c r="D81" s="42"/>
      <c r="E81" s="37"/>
      <c r="F81" s="37"/>
      <c r="G81" s="38"/>
      <c r="H81" s="41"/>
      <c r="T81" s="8"/>
      <c r="U81" s="49"/>
      <c r="V81" s="41"/>
      <c r="W81" s="41"/>
      <c r="X81" s="41"/>
      <c r="Y81" s="41"/>
      <c r="Z81" s="41"/>
    </row>
    <row r="82" spans="1:26" ht="16.5" thickTop="1" thickBot="1" x14ac:dyDescent="0.3">
      <c r="A82" s="17"/>
      <c r="B82" s="8"/>
      <c r="C82" s="40"/>
      <c r="D82" s="42"/>
      <c r="E82" s="37"/>
      <c r="F82" s="37"/>
      <c r="G82" s="38"/>
      <c r="H82" s="41"/>
      <c r="T82" s="8"/>
      <c r="U82" s="49"/>
      <c r="V82" s="41"/>
      <c r="W82" s="41"/>
      <c r="X82" s="41"/>
      <c r="Y82" s="41"/>
      <c r="Z82" s="41"/>
    </row>
    <row r="83" spans="1:26" ht="16.5" thickTop="1" thickBot="1" x14ac:dyDescent="0.3">
      <c r="A83" s="17"/>
      <c r="B83" s="8"/>
      <c r="C83" s="40"/>
      <c r="D83" s="42"/>
      <c r="E83" s="37"/>
      <c r="F83" s="37"/>
      <c r="G83" s="38"/>
      <c r="H83" s="41"/>
      <c r="T83" s="8"/>
      <c r="U83" s="49"/>
      <c r="V83" s="41"/>
      <c r="W83" s="41"/>
      <c r="X83" s="41"/>
      <c r="Y83" s="41"/>
      <c r="Z83" s="41"/>
    </row>
    <row r="84" spans="1:26" ht="16.5" thickTop="1" thickBot="1" x14ac:dyDescent="0.3">
      <c r="A84" s="17"/>
      <c r="B84" s="8"/>
      <c r="C84" s="40"/>
      <c r="D84" s="42"/>
      <c r="E84" s="37"/>
      <c r="F84" s="37"/>
      <c r="G84" s="38"/>
      <c r="H84" s="41"/>
      <c r="T84" s="8"/>
      <c r="U84" s="49"/>
      <c r="V84" s="41"/>
      <c r="W84" s="41"/>
      <c r="X84" s="41"/>
      <c r="Y84" s="41"/>
      <c r="Z84" s="41"/>
    </row>
    <row r="85" spans="1:26" ht="16.5" thickTop="1" thickBot="1" x14ac:dyDescent="0.3">
      <c r="A85" s="17"/>
      <c r="B85" s="8"/>
      <c r="C85" s="40"/>
      <c r="D85" s="42"/>
      <c r="E85" s="37"/>
      <c r="F85" s="37"/>
      <c r="G85" s="38"/>
      <c r="H85" s="41"/>
      <c r="T85" s="8"/>
      <c r="U85" s="49"/>
      <c r="V85" s="41"/>
      <c r="W85" s="41"/>
      <c r="X85" s="41"/>
      <c r="Y85" s="41"/>
      <c r="Z85" s="41"/>
    </row>
    <row r="86" spans="1:26" ht="16.5" thickTop="1" thickBot="1" x14ac:dyDescent="0.3">
      <c r="A86" s="17"/>
      <c r="B86" s="8"/>
      <c r="C86" s="40"/>
      <c r="D86" s="42"/>
      <c r="E86" s="37"/>
      <c r="F86" s="37"/>
      <c r="G86" s="38"/>
      <c r="H86" s="41"/>
      <c r="T86" s="8"/>
      <c r="U86" s="49"/>
      <c r="V86" s="41"/>
      <c r="W86" s="41"/>
      <c r="X86" s="41"/>
      <c r="Y86" s="41"/>
      <c r="Z86" s="41"/>
    </row>
    <row r="87" spans="1:26" ht="16.5" thickTop="1" thickBot="1" x14ac:dyDescent="0.3">
      <c r="A87" s="17"/>
      <c r="B87" s="8"/>
      <c r="C87" s="40"/>
      <c r="D87" s="42"/>
      <c r="E87" s="37"/>
      <c r="F87" s="37"/>
      <c r="G87" s="38"/>
      <c r="H87" s="41"/>
      <c r="T87" s="8"/>
      <c r="U87" s="49"/>
      <c r="V87" s="41"/>
      <c r="W87" s="41"/>
      <c r="X87" s="41"/>
      <c r="Y87" s="41"/>
      <c r="Z87" s="41"/>
    </row>
    <row r="88" spans="1:26" ht="16.5" thickTop="1" thickBot="1" x14ac:dyDescent="0.3">
      <c r="A88" s="17"/>
      <c r="B88" s="8"/>
      <c r="C88" s="40"/>
      <c r="D88" s="42"/>
      <c r="E88" s="37"/>
      <c r="F88" s="37"/>
      <c r="G88" s="38"/>
      <c r="H88" s="41"/>
      <c r="T88" s="8"/>
      <c r="U88" s="49"/>
      <c r="V88" s="41"/>
      <c r="W88" s="41"/>
      <c r="X88" s="41"/>
      <c r="Y88" s="41"/>
      <c r="Z88" s="41"/>
    </row>
    <row r="89" spans="1:26" ht="16.5" thickTop="1" thickBot="1" x14ac:dyDescent="0.3">
      <c r="A89" s="17"/>
      <c r="B89" s="8"/>
      <c r="C89" s="40"/>
      <c r="D89" s="42"/>
      <c r="E89" s="37"/>
      <c r="F89" s="37"/>
      <c r="G89" s="38"/>
      <c r="H89" s="41"/>
      <c r="T89" s="8"/>
      <c r="U89" s="49"/>
      <c r="V89" s="41"/>
      <c r="W89" s="41"/>
      <c r="X89" s="41"/>
      <c r="Y89" s="41"/>
      <c r="Z89" s="41"/>
    </row>
    <row r="90" spans="1:26" ht="16.5" thickTop="1" thickBot="1" x14ac:dyDescent="0.3">
      <c r="A90" s="17"/>
      <c r="B90" s="8"/>
      <c r="C90" s="40"/>
      <c r="D90" s="42"/>
      <c r="E90" s="37"/>
      <c r="F90" s="37"/>
      <c r="G90" s="38"/>
      <c r="H90" s="41"/>
      <c r="T90" s="8"/>
      <c r="U90" s="49"/>
      <c r="V90" s="41"/>
      <c r="W90" s="41"/>
      <c r="X90" s="41"/>
      <c r="Y90" s="41"/>
      <c r="Z90" s="41"/>
    </row>
    <row r="91" spans="1:26" ht="16.5" thickTop="1" thickBot="1" x14ac:dyDescent="0.3">
      <c r="A91" s="17"/>
      <c r="B91" s="8"/>
      <c r="C91" s="40"/>
      <c r="D91" s="42"/>
      <c r="E91" s="37"/>
      <c r="F91" s="37"/>
      <c r="G91" s="38"/>
      <c r="H91" s="41"/>
      <c r="T91" s="8"/>
      <c r="U91" s="49"/>
      <c r="V91" s="41"/>
      <c r="W91" s="41"/>
      <c r="X91" s="41"/>
      <c r="Y91" s="41"/>
      <c r="Z91" s="41"/>
    </row>
    <row r="92" spans="1:26" ht="16.5" thickTop="1" thickBot="1" x14ac:dyDescent="0.3">
      <c r="A92" s="17"/>
      <c r="B92" s="8"/>
      <c r="C92" s="40"/>
      <c r="D92" s="42"/>
      <c r="E92" s="37"/>
      <c r="F92" s="37"/>
      <c r="G92" s="38"/>
      <c r="H92" s="41"/>
      <c r="T92" s="8"/>
      <c r="U92" s="49"/>
      <c r="V92" s="41"/>
      <c r="W92" s="41"/>
      <c r="X92" s="41"/>
      <c r="Y92" s="41"/>
      <c r="Z92" s="41"/>
    </row>
    <row r="93" spans="1:26" ht="16.5" thickTop="1" thickBot="1" x14ac:dyDescent="0.3">
      <c r="A93" s="17"/>
      <c r="B93" s="8"/>
      <c r="C93" s="40"/>
      <c r="D93" s="42"/>
      <c r="E93" s="37"/>
      <c r="F93" s="37"/>
      <c r="G93" s="38"/>
      <c r="H93" s="41"/>
      <c r="T93" s="8"/>
      <c r="U93" s="49"/>
      <c r="V93" s="41"/>
      <c r="W93" s="41"/>
      <c r="X93" s="41"/>
      <c r="Y93" s="41"/>
      <c r="Z93" s="41"/>
    </row>
    <row r="94" spans="1:26" ht="16.5" thickTop="1" thickBot="1" x14ac:dyDescent="0.3">
      <c r="A94" s="17"/>
      <c r="B94" s="8"/>
      <c r="C94" s="40"/>
      <c r="D94" s="42"/>
      <c r="E94" s="37"/>
      <c r="F94" s="37"/>
      <c r="G94" s="38"/>
      <c r="H94" s="41"/>
      <c r="T94" s="8"/>
      <c r="U94" s="49"/>
      <c r="V94" s="41"/>
      <c r="W94" s="41"/>
      <c r="X94" s="41"/>
      <c r="Y94" s="41"/>
      <c r="Z94" s="41"/>
    </row>
    <row r="95" spans="1:26" ht="16.5" thickTop="1" thickBot="1" x14ac:dyDescent="0.3">
      <c r="A95" s="17"/>
      <c r="B95" s="8"/>
      <c r="C95" s="40"/>
      <c r="D95" s="42"/>
      <c r="E95" s="37"/>
      <c r="F95" s="37"/>
      <c r="G95" s="38"/>
      <c r="H95" s="41"/>
      <c r="T95" s="8"/>
      <c r="U95" s="49"/>
      <c r="V95" s="41"/>
      <c r="W95" s="41"/>
      <c r="X95" s="41"/>
      <c r="Y95" s="41"/>
      <c r="Z95" s="41"/>
    </row>
    <row r="96" spans="1:26" ht="16.5" thickTop="1" thickBot="1" x14ac:dyDescent="0.3">
      <c r="A96" s="17"/>
      <c r="B96" s="8"/>
      <c r="C96" s="40"/>
      <c r="D96" s="42"/>
      <c r="E96" s="37"/>
      <c r="F96" s="37"/>
      <c r="G96" s="38"/>
      <c r="H96" s="41"/>
      <c r="T96" s="8"/>
      <c r="U96" s="49"/>
      <c r="V96" s="41"/>
      <c r="W96" s="41"/>
      <c r="X96" s="41"/>
      <c r="Y96" s="41"/>
      <c r="Z96" s="41"/>
    </row>
    <row r="97" spans="1:26" ht="16.5" thickTop="1" thickBot="1" x14ac:dyDescent="0.3">
      <c r="A97" s="17"/>
      <c r="B97" s="8"/>
      <c r="C97" s="40"/>
      <c r="D97" s="42"/>
      <c r="E97" s="37"/>
      <c r="F97" s="37"/>
      <c r="G97" s="38"/>
      <c r="H97" s="41"/>
      <c r="T97" s="8"/>
      <c r="U97" s="49"/>
      <c r="V97" s="41"/>
      <c r="W97" s="41"/>
      <c r="X97" s="41"/>
      <c r="Y97" s="41"/>
      <c r="Z97" s="41"/>
    </row>
    <row r="98" spans="1:26" ht="16.5" thickTop="1" thickBot="1" x14ac:dyDescent="0.3">
      <c r="A98" s="17"/>
      <c r="B98" s="8"/>
      <c r="C98" s="40"/>
      <c r="D98" s="42"/>
      <c r="E98" s="37"/>
      <c r="F98" s="37"/>
      <c r="G98" s="38"/>
      <c r="H98" s="41"/>
      <c r="T98" s="8"/>
      <c r="U98" s="49"/>
      <c r="V98" s="41"/>
      <c r="W98" s="41"/>
      <c r="X98" s="41"/>
      <c r="Y98" s="41"/>
      <c r="Z98" s="41"/>
    </row>
    <row r="99" spans="1:26" ht="16.5" thickTop="1" thickBot="1" x14ac:dyDescent="0.3">
      <c r="A99" s="17"/>
      <c r="B99" s="8"/>
      <c r="C99" s="40"/>
      <c r="D99" s="42"/>
      <c r="E99" s="37"/>
      <c r="F99" s="37"/>
      <c r="G99" s="38"/>
      <c r="H99" s="41"/>
      <c r="T99" s="8"/>
      <c r="U99" s="49"/>
      <c r="V99" s="41"/>
      <c r="W99" s="41"/>
      <c r="X99" s="41"/>
      <c r="Y99" s="41"/>
      <c r="Z99" s="41"/>
    </row>
    <row r="100" spans="1:26" ht="16.5" thickTop="1" thickBot="1" x14ac:dyDescent="0.3">
      <c r="A100" s="17"/>
      <c r="B100" s="8"/>
      <c r="C100" s="40"/>
      <c r="D100" s="42"/>
      <c r="E100" s="37"/>
      <c r="F100" s="37"/>
      <c r="G100" s="38"/>
      <c r="H100" s="41"/>
      <c r="T100" s="8"/>
      <c r="U100" s="49"/>
      <c r="V100" s="41"/>
      <c r="W100" s="41"/>
      <c r="X100" s="41"/>
      <c r="Y100" s="41"/>
      <c r="Z100" s="41"/>
    </row>
    <row r="101" spans="1:26" ht="16.5" thickTop="1" thickBot="1" x14ac:dyDescent="0.3">
      <c r="A101" s="17"/>
      <c r="B101" s="8"/>
      <c r="C101" s="40"/>
      <c r="D101" s="42"/>
      <c r="E101" s="37"/>
      <c r="F101" s="37"/>
      <c r="G101" s="38"/>
      <c r="H101" s="41"/>
      <c r="T101" s="8"/>
      <c r="U101" s="49"/>
      <c r="V101" s="41"/>
      <c r="W101" s="41"/>
      <c r="X101" s="41"/>
      <c r="Y101" s="41"/>
      <c r="Z101" s="41"/>
    </row>
    <row r="102" spans="1:26" ht="16.5" thickTop="1" thickBot="1" x14ac:dyDescent="0.3">
      <c r="A102" s="17"/>
      <c r="B102" s="8"/>
      <c r="C102" s="40"/>
      <c r="D102" s="42"/>
      <c r="E102" s="37"/>
      <c r="F102" s="37"/>
      <c r="G102" s="38"/>
      <c r="H102" s="41"/>
      <c r="T102" s="8"/>
      <c r="U102" s="49"/>
      <c r="V102" s="41"/>
      <c r="W102" s="41"/>
      <c r="X102" s="41"/>
      <c r="Y102" s="41"/>
      <c r="Z102" s="41"/>
    </row>
    <row r="103" spans="1:26" ht="16.5" thickTop="1" thickBot="1" x14ac:dyDescent="0.3">
      <c r="A103" s="17"/>
      <c r="B103" s="8"/>
      <c r="C103" s="40"/>
      <c r="D103" s="42"/>
      <c r="E103" s="37"/>
      <c r="F103" s="37"/>
      <c r="G103" s="38"/>
      <c r="H103" s="41"/>
      <c r="T103" s="8"/>
      <c r="U103" s="49"/>
      <c r="V103" s="41"/>
      <c r="W103" s="41"/>
      <c r="X103" s="41"/>
      <c r="Y103" s="41"/>
      <c r="Z103" s="41"/>
    </row>
    <row r="104" spans="1:26" ht="16.5" thickTop="1" thickBot="1" x14ac:dyDescent="0.3">
      <c r="A104" s="17"/>
      <c r="B104" s="8"/>
      <c r="C104" s="40"/>
      <c r="D104" s="42"/>
      <c r="E104" s="37"/>
      <c r="F104" s="37"/>
      <c r="G104" s="38"/>
      <c r="H104" s="41"/>
      <c r="T104" s="8"/>
      <c r="U104" s="49"/>
      <c r="V104" s="41"/>
      <c r="W104" s="41"/>
      <c r="X104" s="41"/>
      <c r="Y104" s="41"/>
      <c r="Z104" s="41"/>
    </row>
    <row r="105" spans="1:26" ht="16.5" thickTop="1" thickBot="1" x14ac:dyDescent="0.3">
      <c r="A105" s="17"/>
      <c r="B105" s="8"/>
      <c r="C105" s="40"/>
      <c r="D105" s="42"/>
      <c r="E105" s="37"/>
      <c r="F105" s="37"/>
      <c r="G105" s="38"/>
      <c r="H105" s="41"/>
      <c r="T105" s="8"/>
      <c r="U105" s="49"/>
      <c r="V105" s="41"/>
      <c r="W105" s="41"/>
      <c r="X105" s="41"/>
      <c r="Y105" s="41"/>
      <c r="Z105" s="41"/>
    </row>
    <row r="106" spans="1:26" ht="16.5" thickTop="1" thickBot="1" x14ac:dyDescent="0.3">
      <c r="A106" s="17"/>
      <c r="B106" s="8"/>
      <c r="C106" s="40"/>
      <c r="D106" s="42"/>
      <c r="E106" s="37"/>
      <c r="F106" s="37"/>
      <c r="G106" s="38"/>
      <c r="H106" s="41"/>
      <c r="T106" s="8"/>
      <c r="U106" s="49"/>
      <c r="V106" s="41"/>
      <c r="W106" s="41"/>
      <c r="X106" s="41"/>
      <c r="Y106" s="41"/>
      <c r="Z106" s="41"/>
    </row>
    <row r="107" spans="1:26" ht="16.5" thickTop="1" thickBot="1" x14ac:dyDescent="0.3">
      <c r="A107" s="17"/>
      <c r="B107" s="8"/>
      <c r="C107" s="40"/>
      <c r="D107" s="42"/>
      <c r="E107" s="37"/>
      <c r="F107" s="37"/>
      <c r="G107" s="38"/>
      <c r="H107" s="41"/>
      <c r="T107" s="8"/>
      <c r="U107" s="49"/>
      <c r="V107" s="41"/>
      <c r="W107" s="41"/>
      <c r="X107" s="41"/>
      <c r="Y107" s="41"/>
      <c r="Z107" s="41"/>
    </row>
    <row r="108" spans="1:26" ht="16.5" thickTop="1" thickBot="1" x14ac:dyDescent="0.3">
      <c r="A108" s="17"/>
      <c r="B108" s="8"/>
      <c r="C108" s="40"/>
      <c r="D108" s="42"/>
      <c r="E108" s="37"/>
      <c r="F108" s="37"/>
      <c r="G108" s="38"/>
      <c r="H108" s="41"/>
      <c r="T108" s="8"/>
      <c r="U108" s="49"/>
      <c r="V108" s="41"/>
      <c r="W108" s="41"/>
      <c r="X108" s="41"/>
      <c r="Y108" s="41"/>
      <c r="Z108" s="41"/>
    </row>
    <row r="109" spans="1:26" ht="16.5" thickTop="1" thickBot="1" x14ac:dyDescent="0.3">
      <c r="A109" s="17"/>
      <c r="B109" s="8"/>
      <c r="C109" s="40"/>
      <c r="D109" s="42"/>
      <c r="E109" s="37"/>
      <c r="F109" s="37"/>
      <c r="G109" s="38"/>
      <c r="H109" s="41"/>
      <c r="T109" s="8"/>
      <c r="U109" s="49"/>
      <c r="V109" s="41"/>
      <c r="W109" s="41"/>
      <c r="X109" s="41"/>
      <c r="Y109" s="41"/>
      <c r="Z109" s="41"/>
    </row>
    <row r="110" spans="1:26" ht="16.5" thickTop="1" thickBot="1" x14ac:dyDescent="0.3">
      <c r="A110" s="17"/>
      <c r="B110" s="8"/>
      <c r="C110" s="40"/>
      <c r="D110" s="42"/>
      <c r="E110" s="37"/>
      <c r="F110" s="37"/>
      <c r="G110" s="38"/>
      <c r="H110" s="41"/>
      <c r="T110" s="8"/>
      <c r="U110" s="49"/>
      <c r="V110" s="41"/>
      <c r="W110" s="41"/>
      <c r="X110" s="41"/>
      <c r="Y110" s="41"/>
      <c r="Z110" s="41"/>
    </row>
    <row r="111" spans="1:26" ht="16.5" thickTop="1" thickBot="1" x14ac:dyDescent="0.3">
      <c r="A111" s="17"/>
      <c r="B111" s="8"/>
      <c r="C111" s="40"/>
      <c r="D111" s="42"/>
      <c r="E111" s="37"/>
      <c r="F111" s="37"/>
      <c r="G111" s="38"/>
      <c r="H111" s="41"/>
      <c r="T111" s="8"/>
      <c r="U111" s="49"/>
      <c r="V111" s="41"/>
      <c r="W111" s="41"/>
      <c r="X111" s="41"/>
      <c r="Y111" s="41"/>
      <c r="Z111" s="41"/>
    </row>
    <row r="112" spans="1:26" ht="16.5" thickTop="1" thickBot="1" x14ac:dyDescent="0.3">
      <c r="A112" s="17"/>
      <c r="B112" s="8"/>
      <c r="C112" s="40"/>
      <c r="D112" s="42"/>
      <c r="E112" s="37"/>
      <c r="F112" s="37"/>
      <c r="G112" s="38"/>
      <c r="H112" s="41"/>
      <c r="T112" s="8"/>
      <c r="U112" s="49"/>
      <c r="V112" s="41"/>
      <c r="W112" s="41"/>
      <c r="X112" s="41"/>
      <c r="Y112" s="41"/>
      <c r="Z112" s="41"/>
    </row>
    <row r="113" spans="1:26" ht="16.5" thickTop="1" thickBot="1" x14ac:dyDescent="0.3">
      <c r="A113" s="17"/>
      <c r="B113" s="8"/>
      <c r="C113" s="40"/>
      <c r="D113" s="42"/>
      <c r="E113" s="37"/>
      <c r="F113" s="37"/>
      <c r="G113" s="38"/>
      <c r="H113" s="41"/>
      <c r="T113" s="8"/>
      <c r="U113" s="49"/>
      <c r="V113" s="41"/>
      <c r="W113" s="41"/>
      <c r="X113" s="41"/>
      <c r="Y113" s="41"/>
      <c r="Z113" s="41"/>
    </row>
    <row r="114" spans="1:26" ht="16.5" thickTop="1" thickBot="1" x14ac:dyDescent="0.3">
      <c r="A114" s="17"/>
      <c r="B114" s="8"/>
      <c r="C114" s="40"/>
      <c r="D114" s="42"/>
      <c r="E114" s="37"/>
      <c r="F114" s="37"/>
      <c r="G114" s="38"/>
      <c r="H114" s="41"/>
      <c r="T114" s="8"/>
      <c r="U114" s="49"/>
      <c r="V114" s="41"/>
      <c r="W114" s="41"/>
      <c r="X114" s="41"/>
      <c r="Y114" s="41"/>
      <c r="Z114" s="41"/>
    </row>
    <row r="115" spans="1:26" ht="16.5" thickTop="1" thickBot="1" x14ac:dyDescent="0.3">
      <c r="A115" s="17"/>
      <c r="B115" s="8"/>
      <c r="C115" s="40"/>
      <c r="D115" s="42"/>
      <c r="E115" s="37"/>
      <c r="F115" s="37"/>
      <c r="G115" s="38"/>
      <c r="H115" s="41"/>
      <c r="T115" s="8"/>
      <c r="U115" s="49"/>
      <c r="V115" s="41"/>
      <c r="W115" s="41"/>
      <c r="X115" s="41"/>
      <c r="Y115" s="41"/>
      <c r="Z115" s="41"/>
    </row>
    <row r="116" spans="1:26" ht="16.5" thickTop="1" thickBot="1" x14ac:dyDescent="0.3">
      <c r="A116" s="17"/>
      <c r="B116" s="8"/>
      <c r="C116" s="40"/>
      <c r="D116" s="42"/>
      <c r="E116" s="37"/>
      <c r="F116" s="37"/>
      <c r="G116" s="38"/>
      <c r="H116" s="41"/>
      <c r="T116" s="8"/>
      <c r="U116" s="49"/>
      <c r="V116" s="41"/>
      <c r="W116" s="41"/>
      <c r="X116" s="41"/>
      <c r="Y116" s="41"/>
      <c r="Z116" s="41"/>
    </row>
    <row r="117" spans="1:26" ht="16.5" thickTop="1" thickBot="1" x14ac:dyDescent="0.3">
      <c r="A117" s="18"/>
      <c r="B117" s="8"/>
      <c r="C117" s="43"/>
      <c r="D117" s="44"/>
      <c r="E117" s="45"/>
      <c r="F117" s="45"/>
      <c r="G117" s="46"/>
      <c r="H117" s="47"/>
      <c r="T117" s="8"/>
      <c r="U117" s="49"/>
      <c r="V117" s="41"/>
      <c r="W117" s="41"/>
      <c r="X117" s="41"/>
      <c r="Y117" s="41"/>
      <c r="Z117" s="41"/>
    </row>
    <row r="118" spans="1:26" ht="16.5" thickTop="1" thickBot="1" x14ac:dyDescent="0.3">
      <c r="A118" s="19"/>
      <c r="C118" s="22"/>
      <c r="D118" s="2"/>
      <c r="E118" s="2"/>
      <c r="F118" s="2"/>
      <c r="G118" s="2"/>
      <c r="H118" s="23"/>
      <c r="I118" s="21"/>
      <c r="T118" s="8"/>
      <c r="U118" s="49"/>
      <c r="V118" s="41"/>
      <c r="W118" s="41"/>
      <c r="X118" s="41"/>
      <c r="Y118" s="41"/>
      <c r="Z118" s="41"/>
    </row>
    <row r="119" spans="1:26" ht="16.5" thickTop="1" thickBot="1" x14ac:dyDescent="0.3">
      <c r="B119" s="20"/>
      <c r="I119" s="21"/>
      <c r="T119" s="8"/>
      <c r="U119" s="49"/>
      <c r="V119" s="41"/>
      <c r="W119" s="41"/>
      <c r="X119" s="41"/>
      <c r="Y119" s="41"/>
      <c r="Z119" s="41"/>
    </row>
    <row r="120" spans="1:26" ht="16.5" thickTop="1" thickBot="1" x14ac:dyDescent="0.3">
      <c r="I120" s="21"/>
      <c r="T120" s="8"/>
      <c r="U120" s="49"/>
      <c r="V120" s="41"/>
      <c r="W120" s="41"/>
      <c r="X120" s="41"/>
      <c r="Y120" s="41"/>
      <c r="Z120" s="41"/>
    </row>
    <row r="121" spans="1:26" ht="16.5" thickTop="1" thickBot="1" x14ac:dyDescent="0.3">
      <c r="H121" s="14"/>
      <c r="T121" s="8"/>
      <c r="U121" s="49"/>
      <c r="V121" s="41"/>
      <c r="W121" s="41"/>
      <c r="X121" s="41"/>
      <c r="Y121" s="41"/>
      <c r="Z121" s="41"/>
    </row>
    <row r="122" spans="1:26" ht="16.5" thickTop="1" thickBot="1" x14ac:dyDescent="0.3">
      <c r="I122" s="21"/>
      <c r="T122" s="8"/>
      <c r="U122" s="49"/>
      <c r="V122" s="41"/>
      <c r="W122" s="41"/>
      <c r="X122" s="41"/>
      <c r="Y122" s="41"/>
      <c r="Z122" s="41"/>
    </row>
    <row r="123" spans="1:26" ht="16.5" thickTop="1" thickBot="1" x14ac:dyDescent="0.3">
      <c r="I123" s="21"/>
      <c r="T123" s="8"/>
      <c r="U123" s="49"/>
      <c r="V123" s="41"/>
      <c r="W123" s="41"/>
      <c r="X123" s="41"/>
      <c r="Y123" s="41"/>
      <c r="Z123" s="41"/>
    </row>
    <row r="124" spans="1:26" ht="16.5" thickTop="1" thickBot="1" x14ac:dyDescent="0.3">
      <c r="H124" s="14"/>
      <c r="T124" s="8"/>
      <c r="U124" s="49"/>
      <c r="V124" s="41"/>
      <c r="W124" s="41"/>
      <c r="X124" s="41"/>
      <c r="Y124" s="41"/>
      <c r="Z124" s="41"/>
    </row>
    <row r="125" spans="1:26" ht="16.5" thickTop="1" thickBot="1" x14ac:dyDescent="0.3">
      <c r="H125" s="14"/>
      <c r="T125" s="8"/>
      <c r="U125" s="49"/>
      <c r="V125" s="41"/>
      <c r="W125" s="41"/>
      <c r="X125" s="41"/>
      <c r="Y125" s="41"/>
      <c r="Z125" s="41"/>
    </row>
    <row r="126" spans="1:26" ht="16.5" thickTop="1" thickBot="1" x14ac:dyDescent="0.3">
      <c r="I126" s="21"/>
      <c r="T126" s="8"/>
      <c r="U126" s="49"/>
      <c r="V126" s="41"/>
      <c r="W126" s="41"/>
      <c r="X126" s="41"/>
      <c r="Y126" s="41"/>
      <c r="Z126" s="41"/>
    </row>
    <row r="127" spans="1:26" ht="16.5" thickTop="1" thickBot="1" x14ac:dyDescent="0.3">
      <c r="H127" s="14"/>
      <c r="T127" s="8"/>
      <c r="U127" s="49"/>
      <c r="V127" s="41"/>
      <c r="W127" s="41"/>
      <c r="X127" s="41"/>
      <c r="Y127" s="41"/>
      <c r="Z127" s="41"/>
    </row>
    <row r="128" spans="1:26" ht="16.5" thickTop="1" thickBot="1" x14ac:dyDescent="0.3">
      <c r="T128" s="8"/>
      <c r="U128" s="49"/>
      <c r="V128" s="41"/>
      <c r="W128" s="41"/>
      <c r="X128" s="41"/>
      <c r="Y128" s="41"/>
      <c r="Z128" s="41"/>
    </row>
    <row r="129" spans="20:26" ht="16.5" thickTop="1" thickBot="1" x14ac:dyDescent="0.3">
      <c r="T129" s="8"/>
      <c r="U129" s="49"/>
      <c r="V129" s="41"/>
      <c r="W129" s="41"/>
      <c r="X129" s="41"/>
      <c r="Y129" s="41"/>
      <c r="Z129" s="41"/>
    </row>
    <row r="130" spans="20:26" ht="16.5" thickTop="1" thickBot="1" x14ac:dyDescent="0.3">
      <c r="T130" s="8"/>
      <c r="U130" s="49"/>
      <c r="V130" s="41"/>
      <c r="W130" s="41"/>
      <c r="X130" s="41"/>
      <c r="Y130" s="41"/>
      <c r="Z130" s="41"/>
    </row>
    <row r="131" spans="20:26" ht="16.5" thickTop="1" thickBot="1" x14ac:dyDescent="0.3">
      <c r="T131" s="8"/>
      <c r="U131" s="49"/>
      <c r="V131" s="41"/>
      <c r="W131" s="41"/>
      <c r="X131" s="41"/>
      <c r="Y131" s="41"/>
      <c r="Z131" s="41"/>
    </row>
    <row r="132" spans="20:26" ht="16.5" thickTop="1" thickBot="1" x14ac:dyDescent="0.3">
      <c r="T132" s="8"/>
      <c r="U132" s="49"/>
      <c r="V132" s="41"/>
      <c r="W132" s="41"/>
      <c r="X132" s="41"/>
      <c r="Y132" s="41"/>
      <c r="Z132" s="41"/>
    </row>
    <row r="133" spans="20:26" ht="16.5" thickTop="1" thickBot="1" x14ac:dyDescent="0.3">
      <c r="T133" s="8"/>
      <c r="U133" s="49"/>
      <c r="V133" s="41"/>
      <c r="W133" s="41"/>
      <c r="X133" s="41"/>
      <c r="Y133" s="41"/>
      <c r="Z133" s="41"/>
    </row>
    <row r="134" spans="20:26" ht="16.5" thickTop="1" thickBot="1" x14ac:dyDescent="0.3">
      <c r="T134" s="8"/>
      <c r="U134" s="49"/>
      <c r="V134" s="41"/>
      <c r="W134" s="41"/>
      <c r="X134" s="41"/>
      <c r="Y134" s="41"/>
      <c r="Z134" s="41"/>
    </row>
    <row r="135" spans="20:26" ht="16.5" thickTop="1" thickBot="1" x14ac:dyDescent="0.3">
      <c r="T135" s="8"/>
      <c r="U135" s="49"/>
      <c r="V135" s="41"/>
      <c r="W135" s="41"/>
      <c r="X135" s="41"/>
      <c r="Y135" s="41"/>
      <c r="Z135" s="41"/>
    </row>
    <row r="136" spans="20:26" ht="16.5" thickTop="1" thickBot="1" x14ac:dyDescent="0.3">
      <c r="T136" s="8"/>
      <c r="U136" s="49"/>
      <c r="V136" s="41"/>
      <c r="W136" s="41"/>
      <c r="X136" s="41"/>
      <c r="Y136" s="41"/>
      <c r="Z136" s="41"/>
    </row>
    <row r="137" spans="20:26" ht="16.5" thickTop="1" thickBot="1" x14ac:dyDescent="0.3">
      <c r="T137" s="8"/>
      <c r="U137" s="49"/>
      <c r="V137" s="41"/>
      <c r="W137" s="41"/>
      <c r="X137" s="41"/>
      <c r="Y137" s="41"/>
      <c r="Z137" s="41"/>
    </row>
    <row r="138" spans="20:26" ht="16.5" thickTop="1" thickBot="1" x14ac:dyDescent="0.3">
      <c r="T138" s="8"/>
      <c r="U138" s="49"/>
      <c r="V138" s="41"/>
      <c r="W138" s="41"/>
      <c r="X138" s="41"/>
      <c r="Y138" s="41"/>
      <c r="Z138" s="41"/>
    </row>
    <row r="139" spans="20:26" ht="16.5" thickTop="1" thickBot="1" x14ac:dyDescent="0.3">
      <c r="T139" s="8"/>
      <c r="U139" s="49"/>
      <c r="V139" s="41"/>
      <c r="W139" s="41"/>
      <c r="X139" s="41"/>
      <c r="Y139" s="41"/>
      <c r="Z139" s="41"/>
    </row>
    <row r="140" spans="20:26" ht="16.5" thickTop="1" thickBot="1" x14ac:dyDescent="0.3">
      <c r="T140" s="8"/>
      <c r="U140" s="49"/>
      <c r="V140" s="41"/>
      <c r="W140" s="41"/>
      <c r="X140" s="41"/>
      <c r="Y140" s="41"/>
      <c r="Z140" s="41"/>
    </row>
    <row r="141" spans="20:26" ht="16.5" thickTop="1" thickBot="1" x14ac:dyDescent="0.3">
      <c r="T141" s="8"/>
      <c r="U141" s="49"/>
      <c r="V141" s="41"/>
      <c r="W141" s="41"/>
      <c r="X141" s="41"/>
      <c r="Y141" s="41"/>
      <c r="Z141" s="41"/>
    </row>
    <row r="142" spans="20:26" ht="16.5" thickTop="1" thickBot="1" x14ac:dyDescent="0.3">
      <c r="T142" s="8"/>
      <c r="U142" s="49"/>
      <c r="V142" s="41"/>
      <c r="W142" s="41"/>
      <c r="X142" s="41"/>
      <c r="Y142" s="41"/>
      <c r="Z142" s="41"/>
    </row>
    <row r="143" spans="20:26" ht="16.5" thickTop="1" thickBot="1" x14ac:dyDescent="0.3">
      <c r="T143" s="8"/>
      <c r="U143" s="49"/>
      <c r="V143" s="41"/>
      <c r="W143" s="41"/>
      <c r="X143" s="41"/>
      <c r="Y143" s="41"/>
      <c r="Z143" s="41"/>
    </row>
    <row r="144" spans="20:26" ht="16.5" thickTop="1" thickBot="1" x14ac:dyDescent="0.3">
      <c r="T144" s="8"/>
      <c r="U144" s="49"/>
      <c r="V144" s="41"/>
      <c r="W144" s="41"/>
      <c r="X144" s="41"/>
      <c r="Y144" s="41"/>
      <c r="Z144" s="41"/>
    </row>
    <row r="145" spans="20:26" ht="16.5" thickTop="1" thickBot="1" x14ac:dyDescent="0.3">
      <c r="T145" s="8"/>
      <c r="U145" s="49"/>
      <c r="V145" s="41"/>
      <c r="W145" s="41"/>
      <c r="X145" s="41"/>
      <c r="Y145" s="41"/>
      <c r="Z145" s="41"/>
    </row>
    <row r="146" spans="20:26" ht="16.5" thickTop="1" thickBot="1" x14ac:dyDescent="0.3">
      <c r="T146" s="8"/>
      <c r="U146" s="49"/>
      <c r="V146" s="41"/>
      <c r="W146" s="41"/>
      <c r="X146" s="41"/>
      <c r="Y146" s="41"/>
      <c r="Z146" s="41"/>
    </row>
    <row r="147" spans="20:26" ht="16.5" thickTop="1" thickBot="1" x14ac:dyDescent="0.3">
      <c r="T147" s="8"/>
      <c r="U147" s="49"/>
      <c r="V147" s="41"/>
      <c r="W147" s="41"/>
      <c r="X147" s="41"/>
      <c r="Y147" s="41"/>
      <c r="Z147" s="41"/>
    </row>
    <row r="148" spans="20:26" ht="16.5" thickTop="1" thickBot="1" x14ac:dyDescent="0.3">
      <c r="T148" s="8"/>
      <c r="U148" s="49"/>
      <c r="V148" s="41"/>
      <c r="W148" s="41"/>
      <c r="X148" s="41"/>
      <c r="Y148" s="41"/>
      <c r="Z148" s="41"/>
    </row>
    <row r="149" spans="20:26" ht="16.5" thickTop="1" thickBot="1" x14ac:dyDescent="0.3">
      <c r="T149" s="8"/>
      <c r="U149" s="49"/>
      <c r="V149" s="41"/>
      <c r="W149" s="41"/>
      <c r="X149" s="41"/>
      <c r="Y149" s="41"/>
      <c r="Z149" s="41"/>
    </row>
    <row r="150" spans="20:26" ht="16.5" thickTop="1" thickBot="1" x14ac:dyDescent="0.3">
      <c r="T150" s="8"/>
      <c r="U150" s="49"/>
      <c r="V150" s="41"/>
      <c r="W150" s="41"/>
      <c r="X150" s="41"/>
      <c r="Y150" s="41"/>
      <c r="Z150" s="41"/>
    </row>
    <row r="151" spans="20:26" ht="16.5" thickTop="1" thickBot="1" x14ac:dyDescent="0.3">
      <c r="T151" s="8"/>
      <c r="U151" s="49"/>
      <c r="V151" s="41"/>
      <c r="W151" s="41"/>
      <c r="X151" s="41"/>
      <c r="Y151" s="41"/>
      <c r="Z151" s="41"/>
    </row>
    <row r="152" spans="20:26" ht="16.5" thickTop="1" thickBot="1" x14ac:dyDescent="0.3">
      <c r="T152" s="8"/>
      <c r="U152" s="49"/>
      <c r="V152" s="41"/>
      <c r="W152" s="41"/>
      <c r="X152" s="41"/>
      <c r="Y152" s="41"/>
      <c r="Z152" s="41"/>
    </row>
    <row r="153" spans="20:26" ht="16.5" thickTop="1" thickBot="1" x14ac:dyDescent="0.3">
      <c r="T153" s="8"/>
      <c r="U153" s="49"/>
      <c r="V153" s="41"/>
      <c r="W153" s="41"/>
      <c r="X153" s="41"/>
      <c r="Y153" s="41"/>
      <c r="Z153" s="41"/>
    </row>
    <row r="154" spans="20:26" ht="16.5" thickTop="1" thickBot="1" x14ac:dyDescent="0.3">
      <c r="T154" s="8"/>
      <c r="U154" s="49"/>
      <c r="V154" s="41"/>
      <c r="W154" s="41"/>
      <c r="X154" s="41"/>
      <c r="Y154" s="41"/>
      <c r="Z154" s="41"/>
    </row>
    <row r="155" spans="20:26" ht="16.5" thickTop="1" thickBot="1" x14ac:dyDescent="0.3">
      <c r="T155" s="8"/>
      <c r="U155" s="49"/>
      <c r="V155" s="41"/>
      <c r="W155" s="41"/>
      <c r="X155" s="41"/>
      <c r="Y155" s="41"/>
      <c r="Z155" s="41"/>
    </row>
    <row r="156" spans="20:26" ht="16.5" thickTop="1" thickBot="1" x14ac:dyDescent="0.3">
      <c r="T156" s="8"/>
      <c r="U156" s="49"/>
      <c r="V156" s="41"/>
      <c r="W156" s="41"/>
      <c r="X156" s="41"/>
      <c r="Y156" s="41"/>
      <c r="Z156" s="41"/>
    </row>
    <row r="157" spans="20:26" ht="16.5" thickTop="1" thickBot="1" x14ac:dyDescent="0.3">
      <c r="T157" s="8"/>
      <c r="U157" s="49"/>
      <c r="V157" s="41"/>
      <c r="W157" s="41"/>
      <c r="X157" s="41"/>
      <c r="Y157" s="41"/>
      <c r="Z157" s="41"/>
    </row>
    <row r="158" spans="20:26" ht="16.5" thickTop="1" thickBot="1" x14ac:dyDescent="0.3">
      <c r="T158" s="8"/>
      <c r="U158" s="49"/>
      <c r="V158" s="41"/>
      <c r="W158" s="41"/>
      <c r="X158" s="41"/>
      <c r="Y158" s="41"/>
      <c r="Z158" s="41"/>
    </row>
    <row r="159" spans="20:26" ht="16.5" thickTop="1" thickBot="1" x14ac:dyDescent="0.3">
      <c r="T159" s="8"/>
      <c r="U159" s="49"/>
      <c r="V159" s="41"/>
      <c r="W159" s="41"/>
      <c r="X159" s="41"/>
      <c r="Y159" s="41"/>
      <c r="Z159" s="41"/>
    </row>
    <row r="160" spans="20:26" ht="16.5" thickTop="1" thickBot="1" x14ac:dyDescent="0.3">
      <c r="T160" s="8"/>
      <c r="U160" s="49"/>
      <c r="V160" s="41"/>
      <c r="W160" s="41"/>
      <c r="X160" s="41"/>
      <c r="Y160" s="41"/>
      <c r="Z160" s="41"/>
    </row>
    <row r="161" spans="20:26" ht="16.5" thickTop="1" thickBot="1" x14ac:dyDescent="0.3">
      <c r="T161" s="8"/>
      <c r="U161" s="49"/>
      <c r="V161" s="41"/>
      <c r="W161" s="41"/>
      <c r="X161" s="41"/>
      <c r="Y161" s="41"/>
      <c r="Z161" s="41"/>
    </row>
    <row r="162" spans="20:26" ht="16.5" thickTop="1" thickBot="1" x14ac:dyDescent="0.3">
      <c r="T162" s="8"/>
      <c r="U162" s="49"/>
      <c r="V162" s="41"/>
      <c r="W162" s="41"/>
      <c r="X162" s="41"/>
      <c r="Y162" s="41"/>
      <c r="Z162" s="41"/>
    </row>
    <row r="163" spans="20:26" ht="16.5" thickTop="1" thickBot="1" x14ac:dyDescent="0.3">
      <c r="T163" s="8"/>
      <c r="U163" s="49"/>
      <c r="V163" s="41"/>
      <c r="W163" s="41"/>
      <c r="X163" s="41"/>
      <c r="Y163" s="41"/>
      <c r="Z163" s="41"/>
    </row>
    <row r="164" spans="20:26" ht="16.5" thickTop="1" thickBot="1" x14ac:dyDescent="0.3">
      <c r="T164" s="8"/>
      <c r="U164" s="49"/>
      <c r="V164" s="41"/>
      <c r="W164" s="41"/>
      <c r="X164" s="41"/>
      <c r="Y164" s="41"/>
      <c r="Z164" s="41"/>
    </row>
    <row r="165" spans="20:26" ht="16.5" thickTop="1" thickBot="1" x14ac:dyDescent="0.3">
      <c r="T165" s="8"/>
      <c r="U165" s="49"/>
      <c r="V165" s="41"/>
      <c r="W165" s="41"/>
      <c r="X165" s="41"/>
      <c r="Y165" s="41"/>
      <c r="Z165" s="41"/>
    </row>
    <row r="166" spans="20:26" ht="16.5" thickTop="1" thickBot="1" x14ac:dyDescent="0.3">
      <c r="T166" s="8"/>
      <c r="U166" s="49"/>
      <c r="V166" s="41"/>
      <c r="W166" s="41"/>
      <c r="X166" s="41"/>
      <c r="Y166" s="41"/>
      <c r="Z166" s="41"/>
    </row>
    <row r="167" spans="20:26" ht="16.5" thickTop="1" thickBot="1" x14ac:dyDescent="0.3">
      <c r="T167" s="8"/>
      <c r="U167" s="49"/>
      <c r="V167" s="41"/>
      <c r="W167" s="41"/>
      <c r="X167" s="41"/>
      <c r="Y167" s="41"/>
      <c r="Z167" s="41"/>
    </row>
    <row r="168" spans="20:26" ht="16.5" thickTop="1" thickBot="1" x14ac:dyDescent="0.3">
      <c r="T168" s="8"/>
      <c r="U168" s="49"/>
      <c r="V168" s="41"/>
      <c r="W168" s="41"/>
      <c r="X168" s="41"/>
      <c r="Y168" s="41"/>
      <c r="Z168" s="41"/>
    </row>
    <row r="169" spans="20:26" ht="16.5" thickTop="1" thickBot="1" x14ac:dyDescent="0.3">
      <c r="T169" s="8"/>
      <c r="U169" s="49"/>
      <c r="V169" s="41"/>
      <c r="W169" s="41"/>
      <c r="X169" s="41"/>
      <c r="Y169" s="41"/>
      <c r="Z169" s="41"/>
    </row>
    <row r="170" spans="20:26" ht="16.5" thickTop="1" thickBot="1" x14ac:dyDescent="0.3">
      <c r="T170" s="8"/>
      <c r="U170" s="49"/>
      <c r="V170" s="41"/>
      <c r="W170" s="41"/>
      <c r="X170" s="41"/>
      <c r="Y170" s="41"/>
      <c r="Z170" s="41"/>
    </row>
    <row r="171" spans="20:26" ht="16.5" thickTop="1" thickBot="1" x14ac:dyDescent="0.3">
      <c r="T171" s="8"/>
      <c r="U171" s="49"/>
      <c r="V171" s="41"/>
      <c r="W171" s="41"/>
      <c r="X171" s="41"/>
      <c r="Y171" s="41"/>
      <c r="Z171" s="41"/>
    </row>
    <row r="172" spans="20:26" ht="16.5" thickTop="1" thickBot="1" x14ac:dyDescent="0.3">
      <c r="T172" s="8"/>
      <c r="U172" s="49"/>
      <c r="V172" s="41"/>
      <c r="W172" s="41"/>
      <c r="X172" s="41"/>
      <c r="Y172" s="41"/>
      <c r="Z172" s="41"/>
    </row>
    <row r="173" spans="20:26" ht="16.5" thickTop="1" thickBot="1" x14ac:dyDescent="0.3">
      <c r="T173" s="8"/>
      <c r="U173" s="49"/>
      <c r="V173" s="41"/>
      <c r="W173" s="41"/>
      <c r="X173" s="41"/>
      <c r="Y173" s="41"/>
      <c r="Z173" s="41"/>
    </row>
    <row r="174" spans="20:26" ht="16.5" thickTop="1" thickBot="1" x14ac:dyDescent="0.3">
      <c r="T174" s="8"/>
      <c r="U174" s="49"/>
      <c r="V174" s="41"/>
      <c r="W174" s="41"/>
      <c r="X174" s="41"/>
      <c r="Y174" s="41"/>
      <c r="Z174" s="41"/>
    </row>
    <row r="175" spans="20:26" ht="16.5" thickTop="1" thickBot="1" x14ac:dyDescent="0.3">
      <c r="T175" s="8"/>
      <c r="U175" s="49"/>
      <c r="V175" s="41"/>
      <c r="W175" s="41"/>
      <c r="X175" s="41"/>
      <c r="Y175" s="41"/>
      <c r="Z175" s="41"/>
    </row>
    <row r="176" spans="20:26" ht="16.5" thickTop="1" thickBot="1" x14ac:dyDescent="0.3">
      <c r="T176" s="8"/>
      <c r="U176" s="49"/>
      <c r="V176" s="41"/>
      <c r="W176" s="41"/>
      <c r="X176" s="41"/>
      <c r="Y176" s="41"/>
      <c r="Z176" s="41"/>
    </row>
    <row r="177" spans="20:27" ht="16.5" thickTop="1" thickBot="1" x14ac:dyDescent="0.3">
      <c r="T177" s="8"/>
      <c r="U177" s="49"/>
      <c r="V177" s="41"/>
      <c r="W177" s="41"/>
      <c r="X177" s="41"/>
      <c r="Y177" s="41"/>
      <c r="Z177" s="41"/>
    </row>
    <row r="178" spans="20:27" ht="15.75" thickTop="1" x14ac:dyDescent="0.25">
      <c r="T178" s="8"/>
      <c r="U178" s="50"/>
      <c r="V178" s="51"/>
      <c r="W178" s="47"/>
      <c r="X178" s="51"/>
      <c r="Y178" s="47"/>
      <c r="Z178" s="52"/>
      <c r="AA178" s="7"/>
    </row>
    <row r="179" spans="20:27" x14ac:dyDescent="0.25">
      <c r="W179" s="53"/>
      <c r="Y179" s="2"/>
    </row>
    <row r="180" spans="20:27" x14ac:dyDescent="0.25">
      <c r="W180" s="20"/>
    </row>
  </sheetData>
  <sheetProtection formatCells="0"/>
  <mergeCells count="10">
    <mergeCell ref="F5:I6"/>
    <mergeCell ref="G12:J13"/>
    <mergeCell ref="K24:N25"/>
    <mergeCell ref="O24:R25"/>
    <mergeCell ref="K32:N33"/>
    <mergeCell ref="O32:R33"/>
    <mergeCell ref="K26:N27"/>
    <mergeCell ref="O26:R27"/>
    <mergeCell ref="K28:N29"/>
    <mergeCell ref="O28:R29"/>
  </mergeCells>
  <conditionalFormatting sqref="H25:H117 U25:Z178">
    <cfRule type="cellIs" dxfId="1" priority="3" operator="equal">
      <formula>"CONCLUÍDO"</formula>
    </cfRule>
    <cfRule type="cellIs" dxfId="0" priority="4" operator="equal">
      <formula>"PENDENTE"</formula>
    </cfRule>
  </conditionalFormatting>
  <dataValidations count="8">
    <dataValidation type="date" allowBlank="1" showInputMessage="1" showErrorMessage="1" sqref="D25:D117 V25:V178" xr:uid="{751203F9-FD57-4E98-9AB2-B858316861E3}">
      <formula1>46054</formula1>
      <formula2>73051</formula2>
    </dataValidation>
    <dataValidation type="list" showInputMessage="1" showErrorMessage="1" errorTitle="Valor inválido ou em branco" error="Digite ou selecione um valor que esteja entre (Concluído,Pendente)" sqref="H25:H117 Z25:Z178" xr:uid="{BF2656C5-66BA-4137-BFFD-F3A8976904AE}">
      <formula1>"Pendente,Concluído"</formula1>
    </dataValidation>
    <dataValidation type="date" showInputMessage="1" showErrorMessage="1" errorTitle="Valor inválido ou em branco." error="Digite um valor no formato de data Brasileiro _x000a_Exemplo: DD/MM/YYYY" sqref="C25:C117 U25:U178" xr:uid="{02C61D18-33DA-49DA-A8FB-BE9EBD8422EC}">
      <formula1>46054</formula1>
      <formula2>73051</formula2>
    </dataValidation>
    <dataValidation type="decimal" showInputMessage="1" showErrorMessage="1" errorTitle="Valor em Branco ou Inválido " error="Digite um valor em Reais." sqref="G25:G117 Y25:Y178" xr:uid="{7532C3A8-C398-40F4-B313-92CF35258B1A}">
      <formula1>0.01</formula1>
      <formula2>1000000000</formula2>
    </dataValidation>
    <dataValidation type="decimal" showInputMessage="1" showErrorMessage="1" errorTitle="Valor em branco ou Inválido " error="Digite um valor em formato decimal._x000a_Exemplo: 10,00" sqref="O24:R25" xr:uid="{F2BCB455-A0F3-467A-A390-B9619A592B4D}">
      <formula1>-10000000</formula1>
      <formula2>1000000000000000</formula2>
    </dataValidation>
    <dataValidation type="list" showInputMessage="1" showErrorMessage="1" errorTitle="Valor em branco ou Inválido" error="Selecione ou digite um valor entre (Gasto Fixo,Gasto Variavel,Profissional,Hobbys)" sqref="F25:F117" xr:uid="{75FD9404-CC79-402A-AE80-C3DA91269C38}">
      <formula1>"Gasto Fixo,Gasto Variavel,Profissional,Hobbys,Investimento,Cofrinho"</formula1>
    </dataValidation>
    <dataValidation type="list" showInputMessage="1" showErrorMessage="1" errorTitle="Valor em branco ou Inválido" error="Selecione ou digite um valor entre (Gasto Fixo,Gasto Variavel,Profissional,Hobbys)" sqref="X25:X178" xr:uid="{421E5402-E3F8-4A57-A1E1-D0EC8EF4FA78}">
      <formula1>"Salários,Dividendos,Freelance,Vendas/Extras,Reembolso"</formula1>
    </dataValidation>
    <dataValidation type="decimal" allowBlank="1" showInputMessage="1" showErrorMessage="1" errorTitle="Valor Inválido " error="Digite um número decimal para representar valor em real. ex: 10,50" sqref="O32:R33" xr:uid="{FEF0C4EF-F031-43C9-A5BB-10F00BA8EC05}">
      <formula1>0</formula1>
      <formula2>1E+41</formula2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EDF7-7799-41C1-92A6-4242939A8090}">
  <sheetPr codeName="Planilha2"/>
  <dimension ref="B4:AB41"/>
  <sheetViews>
    <sheetView showGridLines="0" tabSelected="1" topLeftCell="G4" workbookViewId="0">
      <selection activeCell="AB12" sqref="AB12"/>
    </sheetView>
  </sheetViews>
  <sheetFormatPr defaultRowHeight="15" x14ac:dyDescent="0.25"/>
  <cols>
    <col min="2" max="2" width="11.140625" customWidth="1"/>
    <col min="3" max="3" width="10.85546875" customWidth="1"/>
    <col min="4" max="4" width="11.42578125" customWidth="1"/>
    <col min="5" max="5" width="9.5703125" customWidth="1"/>
    <col min="6" max="6" width="18.42578125" bestFit="1" customWidth="1"/>
    <col min="7" max="7" width="15.7109375" bestFit="1" customWidth="1"/>
    <col min="9" max="9" width="18.42578125" bestFit="1" customWidth="1"/>
    <col min="10" max="10" width="15.7109375" bestFit="1" customWidth="1"/>
    <col min="21" max="21" width="38.28515625" bestFit="1" customWidth="1"/>
    <col min="22" max="22" width="16.42578125" bestFit="1" customWidth="1"/>
    <col min="23" max="23" width="15" bestFit="1" customWidth="1"/>
    <col min="24" max="24" width="10.28515625" bestFit="1" customWidth="1"/>
  </cols>
  <sheetData>
    <row r="4" spans="2:28" x14ac:dyDescent="0.25">
      <c r="W4" s="89"/>
      <c r="X4" s="89"/>
      <c r="Y4" s="89"/>
      <c r="Z4" s="89"/>
    </row>
    <row r="5" spans="2:28" x14ac:dyDescent="0.25">
      <c r="B5" s="92" t="s">
        <v>29</v>
      </c>
      <c r="C5" s="92" t="s">
        <v>30</v>
      </c>
      <c r="D5" s="92" t="s">
        <v>31</v>
      </c>
      <c r="E5" s="92" t="s">
        <v>32</v>
      </c>
      <c r="V5" s="91"/>
      <c r="W5" s="90"/>
      <c r="X5" s="90"/>
      <c r="Y5" s="90"/>
      <c r="Z5" s="90"/>
      <c r="AA5" s="88"/>
      <c r="AB5" s="88"/>
    </row>
    <row r="6" spans="2:28" x14ac:dyDescent="0.25">
      <c r="B6" s="1">
        <v>46023</v>
      </c>
      <c r="C6">
        <f>SUMIFS('Fluxo de Caixa'!Y:Y, 'Fluxo de Caixa'!Z:Z, "Conclu*", 'Fluxo de Caixa'!V:V, "&gt;="&amp;B6, 'Fluxo de Caixa'!V:V, "&lt;"&amp;EDATE(B6,1))</f>
        <v>0</v>
      </c>
      <c r="D6">
        <f>SUMIFS('Fluxo de Caixa'!G:G, 'Fluxo de Caixa'!H:H, "Conclu*", 'Fluxo de Caixa'!D:D, "&gt;="&amp;B6, 'Fluxo de Caixa'!D:D, "&lt;"&amp;EDATE(B6,1))</f>
        <v>0</v>
      </c>
      <c r="E6">
        <f>C6-D6</f>
        <v>0</v>
      </c>
      <c r="W6" s="77"/>
    </row>
    <row r="7" spans="2:28" x14ac:dyDescent="0.25">
      <c r="B7" s="1">
        <v>46054</v>
      </c>
      <c r="C7">
        <f>SUMIFS('Fluxo de Caixa'!Y:Y, 'Fluxo de Caixa'!Z:Z, "Conclu*", 'Fluxo de Caixa'!V:V, "&gt;="&amp;B7, 'Fluxo de Caixa'!V:V, "&lt;"&amp;EDATE(B7,1))</f>
        <v>1356.38</v>
      </c>
      <c r="D7">
        <f>SUMIFS('Fluxo de Caixa'!G:G, 'Fluxo de Caixa'!H:H, "Conclu*", 'Fluxo de Caixa'!D:D, "&gt;="&amp;B7, 'Fluxo de Caixa'!D:D, "&lt;"&amp;EDATE(B7,1))</f>
        <v>3249.9200000000005</v>
      </c>
      <c r="E7">
        <f t="shared" ref="E7:E41" si="0">C7-D7</f>
        <v>-1893.5400000000004</v>
      </c>
      <c r="W7" s="77"/>
    </row>
    <row r="8" spans="2:28" x14ac:dyDescent="0.25">
      <c r="B8" s="1">
        <v>46082</v>
      </c>
      <c r="C8">
        <f>SUMIFS('Fluxo de Caixa'!Y:Y, 'Fluxo de Caixa'!Z:Z, "Conclu*", 'Fluxo de Caixa'!V:V, "&gt;="&amp;B8, 'Fluxo de Caixa'!V:V, "&lt;"&amp;EDATE(B8,1))</f>
        <v>0</v>
      </c>
      <c r="D8">
        <f>SUMIFS('Fluxo de Caixa'!G:G, 'Fluxo de Caixa'!H:H, "Conclu*", 'Fluxo de Caixa'!D:D, "&gt;="&amp;B8, 'Fluxo de Caixa'!D:D, "&lt;"&amp;EDATE(B8,1))</f>
        <v>0</v>
      </c>
      <c r="E8">
        <f t="shared" si="0"/>
        <v>0</v>
      </c>
      <c r="V8" s="90"/>
      <c r="W8" s="77"/>
    </row>
    <row r="9" spans="2:28" x14ac:dyDescent="0.25">
      <c r="B9" s="1">
        <v>46113</v>
      </c>
      <c r="C9">
        <f>SUMIFS('Fluxo de Caixa'!Y:Y, 'Fluxo de Caixa'!Z:Z, "Conclu*", 'Fluxo de Caixa'!V:V, "&gt;="&amp;B9, 'Fluxo de Caixa'!V:V, "&lt;"&amp;EDATE(B9,1))</f>
        <v>0</v>
      </c>
      <c r="D9">
        <f>SUMIFS('Fluxo de Caixa'!G:G, 'Fluxo de Caixa'!H:H, "Conclu*", 'Fluxo de Caixa'!D:D, "&gt;="&amp;B9, 'Fluxo de Caixa'!D:D, "&lt;"&amp;EDATE(B9,1))</f>
        <v>0</v>
      </c>
      <c r="E9">
        <f t="shared" si="0"/>
        <v>0</v>
      </c>
      <c r="I9" s="85" t="s">
        <v>64</v>
      </c>
      <c r="J9" t="s">
        <v>50</v>
      </c>
      <c r="W9" s="77"/>
    </row>
    <row r="10" spans="2:28" x14ac:dyDescent="0.25">
      <c r="B10" s="1">
        <v>46143</v>
      </c>
      <c r="C10">
        <f>SUMIFS('Fluxo de Caixa'!Y:Y, 'Fluxo de Caixa'!Z:Z, "Conclu*", 'Fluxo de Caixa'!V:V, "&gt;="&amp;B10, 'Fluxo de Caixa'!V:V, "&lt;"&amp;EDATE(B10,1))</f>
        <v>0</v>
      </c>
      <c r="D10">
        <f>SUMIFS('Fluxo de Caixa'!G:G, 'Fluxo de Caixa'!H:H, "Conclu*", 'Fluxo de Caixa'!D:D, "&gt;="&amp;B10, 'Fluxo de Caixa'!D:D, "&lt;"&amp;EDATE(B10,1))</f>
        <v>0</v>
      </c>
      <c r="E10">
        <f t="shared" si="0"/>
        <v>0</v>
      </c>
      <c r="W10" s="77"/>
    </row>
    <row r="11" spans="2:28" x14ac:dyDescent="0.25">
      <c r="B11" s="1">
        <v>46174</v>
      </c>
      <c r="C11">
        <f>SUMIFS('Fluxo de Caixa'!Y:Y, 'Fluxo de Caixa'!Z:Z, "Conclu*", 'Fluxo de Caixa'!V:V, "&gt;="&amp;B11, 'Fluxo de Caixa'!V:V, "&lt;"&amp;EDATE(B11,1))</f>
        <v>0</v>
      </c>
      <c r="D11">
        <f>SUMIFS('Fluxo de Caixa'!G:G, 'Fluxo de Caixa'!H:H, "Conclu*", 'Fluxo de Caixa'!D:D, "&gt;="&amp;B11, 'Fluxo de Caixa'!D:D, "&lt;"&amp;EDATE(B11,1))</f>
        <v>0</v>
      </c>
      <c r="E11">
        <f t="shared" si="0"/>
        <v>0</v>
      </c>
      <c r="I11" s="85" t="s">
        <v>45</v>
      </c>
      <c r="J11" t="s">
        <v>51</v>
      </c>
      <c r="W11" s="77"/>
    </row>
    <row r="12" spans="2:28" x14ac:dyDescent="0.25">
      <c r="B12" s="1">
        <v>46204</v>
      </c>
      <c r="C12">
        <f>SUMIFS('Fluxo de Caixa'!Y:Y, 'Fluxo de Caixa'!Z:Z, "Conclu*", 'Fluxo de Caixa'!V:V, "&gt;="&amp;B12, 'Fluxo de Caixa'!V:V, "&lt;"&amp;EDATE(B12,1))</f>
        <v>0</v>
      </c>
      <c r="D12">
        <f>SUMIFS('Fluxo de Caixa'!G:G, 'Fluxo de Caixa'!H:H, "Conclu*", 'Fluxo de Caixa'!D:D, "&gt;="&amp;B12, 'Fluxo de Caixa'!D:D, "&lt;"&amp;EDATE(B12,1))</f>
        <v>0</v>
      </c>
      <c r="E12">
        <f t="shared" si="0"/>
        <v>0</v>
      </c>
      <c r="I12" s="86" t="s">
        <v>52</v>
      </c>
      <c r="J12" s="93">
        <v>0</v>
      </c>
      <c r="W12" s="77"/>
    </row>
    <row r="13" spans="2:28" x14ac:dyDescent="0.25">
      <c r="B13" s="1">
        <v>46235</v>
      </c>
      <c r="C13">
        <f>SUMIFS('Fluxo de Caixa'!Y:Y, 'Fluxo de Caixa'!Z:Z, "Conclu*", 'Fluxo de Caixa'!V:V, "&gt;="&amp;B13, 'Fluxo de Caixa'!V:V, "&lt;"&amp;EDATE(B13,1))</f>
        <v>0</v>
      </c>
      <c r="D13">
        <f>SUMIFS('Fluxo de Caixa'!G:G, 'Fluxo de Caixa'!H:H, "Conclu*", 'Fluxo de Caixa'!D:D, "&gt;="&amp;B13, 'Fluxo de Caixa'!D:D, "&lt;"&amp;EDATE(B13,1))</f>
        <v>0</v>
      </c>
      <c r="E13">
        <f t="shared" si="0"/>
        <v>0</v>
      </c>
      <c r="I13" s="86" t="s">
        <v>53</v>
      </c>
      <c r="J13" s="93">
        <v>-1893.5400000000004</v>
      </c>
      <c r="W13" s="77"/>
    </row>
    <row r="14" spans="2:28" x14ac:dyDescent="0.25">
      <c r="B14" s="1">
        <v>46266</v>
      </c>
      <c r="C14">
        <f>SUMIFS('Fluxo de Caixa'!Y:Y, 'Fluxo de Caixa'!Z:Z, "Conclu*", 'Fluxo de Caixa'!V:V, "&gt;="&amp;B14, 'Fluxo de Caixa'!V:V, "&lt;"&amp;EDATE(B14,1))</f>
        <v>0</v>
      </c>
      <c r="D14">
        <f>SUMIFS('Fluxo de Caixa'!G:G, 'Fluxo de Caixa'!H:H, "Conclu*", 'Fluxo de Caixa'!D:D, "&gt;="&amp;B14, 'Fluxo de Caixa'!D:D, "&lt;"&amp;EDATE(B14,1))</f>
        <v>0</v>
      </c>
      <c r="E14">
        <f t="shared" si="0"/>
        <v>0</v>
      </c>
      <c r="I14" s="86" t="s">
        <v>54</v>
      </c>
      <c r="J14" s="93">
        <v>0</v>
      </c>
      <c r="W14" s="77"/>
    </row>
    <row r="15" spans="2:28" x14ac:dyDescent="0.25">
      <c r="B15" s="1">
        <v>46296</v>
      </c>
      <c r="C15">
        <f>SUMIFS('Fluxo de Caixa'!Y:Y, 'Fluxo de Caixa'!Z:Z, "Conclu*", 'Fluxo de Caixa'!V:V, "&gt;="&amp;B15, 'Fluxo de Caixa'!V:V, "&lt;"&amp;EDATE(B15,1))</f>
        <v>0</v>
      </c>
      <c r="D15">
        <f>SUMIFS('Fluxo de Caixa'!G:G, 'Fluxo de Caixa'!H:H, "Conclu*", 'Fluxo de Caixa'!D:D, "&gt;="&amp;B15, 'Fluxo de Caixa'!D:D, "&lt;"&amp;EDATE(B15,1))</f>
        <v>0</v>
      </c>
      <c r="E15">
        <f t="shared" si="0"/>
        <v>0</v>
      </c>
      <c r="I15" s="86" t="s">
        <v>55</v>
      </c>
      <c r="J15" s="93">
        <v>0</v>
      </c>
      <c r="W15" s="77"/>
    </row>
    <row r="16" spans="2:28" ht="15" customHeight="1" x14ac:dyDescent="0.25">
      <c r="B16" s="1">
        <v>46327</v>
      </c>
      <c r="C16">
        <f>SUMIFS('Fluxo de Caixa'!Y:Y, 'Fluxo de Caixa'!Z:Z, "Conclu*", 'Fluxo de Caixa'!V:V, "&gt;="&amp;B16, 'Fluxo de Caixa'!V:V, "&lt;"&amp;EDATE(B16,1))</f>
        <v>0</v>
      </c>
      <c r="D16">
        <f>SUMIFS('Fluxo de Caixa'!G:G, 'Fluxo de Caixa'!H:H, "Conclu*", 'Fluxo de Caixa'!D:D, "&gt;="&amp;B16, 'Fluxo de Caixa'!D:D, "&lt;"&amp;EDATE(B16,1))</f>
        <v>0</v>
      </c>
      <c r="E16">
        <f t="shared" si="0"/>
        <v>0</v>
      </c>
      <c r="I16" s="86" t="s">
        <v>56</v>
      </c>
      <c r="J16" s="93">
        <v>0</v>
      </c>
      <c r="W16" s="77"/>
    </row>
    <row r="17" spans="2:23" x14ac:dyDescent="0.25">
      <c r="B17" s="1">
        <v>46357</v>
      </c>
      <c r="C17">
        <f>SUMIFS('Fluxo de Caixa'!Y:Y, 'Fluxo de Caixa'!Z:Z, "Conclu*", 'Fluxo de Caixa'!V:V, "&gt;="&amp;B17, 'Fluxo de Caixa'!V:V, "&lt;"&amp;EDATE(B17,1))</f>
        <v>0</v>
      </c>
      <c r="D17">
        <f>SUMIFS('Fluxo de Caixa'!G:G, 'Fluxo de Caixa'!H:H, "Conclu*", 'Fluxo de Caixa'!D:D, "&gt;="&amp;B17, 'Fluxo de Caixa'!D:D, "&lt;"&amp;EDATE(B17,1))</f>
        <v>0</v>
      </c>
      <c r="E17">
        <f t="shared" si="0"/>
        <v>0</v>
      </c>
      <c r="I17" s="86" t="s">
        <v>57</v>
      </c>
      <c r="J17" s="93">
        <v>0</v>
      </c>
      <c r="W17" s="77"/>
    </row>
    <row r="18" spans="2:23" x14ac:dyDescent="0.25">
      <c r="B18" s="1">
        <v>46388</v>
      </c>
      <c r="C18">
        <f>SUMIFS('Fluxo de Caixa'!Y:Y, 'Fluxo de Caixa'!Z:Z, "Conclu*", 'Fluxo de Caixa'!V:V, "&gt;="&amp;B18, 'Fluxo de Caixa'!V:V, "&lt;"&amp;EDATE(B18,1))</f>
        <v>0</v>
      </c>
      <c r="D18">
        <f>SUMIFS('Fluxo de Caixa'!G:G, 'Fluxo de Caixa'!H:H, "Conclu*", 'Fluxo de Caixa'!D:D, "&gt;="&amp;B18, 'Fluxo de Caixa'!D:D, "&lt;"&amp;EDATE(B18,1))</f>
        <v>0</v>
      </c>
      <c r="E18">
        <f t="shared" si="0"/>
        <v>0</v>
      </c>
      <c r="I18" s="86" t="s">
        <v>58</v>
      </c>
      <c r="J18" s="93">
        <v>0</v>
      </c>
      <c r="W18" s="77"/>
    </row>
    <row r="19" spans="2:23" x14ac:dyDescent="0.25">
      <c r="B19" s="1">
        <v>46419</v>
      </c>
      <c r="C19">
        <f>SUMIFS('Fluxo de Caixa'!Y:Y, 'Fluxo de Caixa'!Z:Z, "Conclu*", 'Fluxo de Caixa'!V:V, "&gt;="&amp;B19, 'Fluxo de Caixa'!V:V, "&lt;"&amp;EDATE(B19,1))</f>
        <v>0</v>
      </c>
      <c r="D19">
        <f>SUMIFS('Fluxo de Caixa'!G:G, 'Fluxo de Caixa'!H:H, "Conclu*", 'Fluxo de Caixa'!D:D, "&gt;="&amp;B19, 'Fluxo de Caixa'!D:D, "&lt;"&amp;EDATE(B19,1))</f>
        <v>0</v>
      </c>
      <c r="E19">
        <f t="shared" si="0"/>
        <v>0</v>
      </c>
      <c r="I19" s="86" t="s">
        <v>59</v>
      </c>
      <c r="J19" s="93">
        <v>0</v>
      </c>
      <c r="W19" s="77"/>
    </row>
    <row r="20" spans="2:23" x14ac:dyDescent="0.25">
      <c r="B20" s="1">
        <v>46447</v>
      </c>
      <c r="C20">
        <f>SUMIFS('Fluxo de Caixa'!Y:Y, 'Fluxo de Caixa'!Z:Z, "Conclu*", 'Fluxo de Caixa'!V:V, "&gt;="&amp;B20, 'Fluxo de Caixa'!V:V, "&lt;"&amp;EDATE(B20,1))</f>
        <v>0</v>
      </c>
      <c r="D20">
        <f>SUMIFS('Fluxo de Caixa'!G:G, 'Fluxo de Caixa'!H:H, "Conclu*", 'Fluxo de Caixa'!D:D, "&gt;="&amp;B20, 'Fluxo de Caixa'!D:D, "&lt;"&amp;EDATE(B20,1))</f>
        <v>0</v>
      </c>
      <c r="E20">
        <f t="shared" si="0"/>
        <v>0</v>
      </c>
      <c r="I20" s="86" t="s">
        <v>60</v>
      </c>
      <c r="J20" s="93">
        <v>0</v>
      </c>
      <c r="U20" s="85" t="s">
        <v>45</v>
      </c>
      <c r="V20" t="s">
        <v>46</v>
      </c>
    </row>
    <row r="21" spans="2:23" x14ac:dyDescent="0.25">
      <c r="B21" s="1">
        <v>46478</v>
      </c>
      <c r="C21">
        <f>SUMIFS('Fluxo de Caixa'!Y:Y, 'Fluxo de Caixa'!Z:Z, "Conclu*", 'Fluxo de Caixa'!V:V, "&gt;="&amp;B21, 'Fluxo de Caixa'!V:V, "&lt;"&amp;EDATE(B21,1))</f>
        <v>0</v>
      </c>
      <c r="D21">
        <f>SUMIFS('Fluxo de Caixa'!G:G, 'Fluxo de Caixa'!H:H, "Conclu*", 'Fluxo de Caixa'!D:D, "&gt;="&amp;B21, 'Fluxo de Caixa'!D:D, "&lt;"&amp;EDATE(B21,1))</f>
        <v>0</v>
      </c>
      <c r="E21">
        <f t="shared" si="0"/>
        <v>0</v>
      </c>
      <c r="I21" s="86" t="s">
        <v>61</v>
      </c>
      <c r="J21" s="93">
        <v>0</v>
      </c>
      <c r="N21" s="78"/>
      <c r="O21" s="78"/>
      <c r="P21" s="78"/>
      <c r="U21" s="86" t="s">
        <v>13</v>
      </c>
      <c r="V21" s="87">
        <v>290.33</v>
      </c>
    </row>
    <row r="22" spans="2:23" x14ac:dyDescent="0.25">
      <c r="B22" s="1">
        <v>46508</v>
      </c>
      <c r="C22">
        <f>SUMIFS('Fluxo de Caixa'!Y:Y, 'Fluxo de Caixa'!Z:Z, "Conclu*", 'Fluxo de Caixa'!V:V, "&gt;="&amp;B22, 'Fluxo de Caixa'!V:V, "&lt;"&amp;EDATE(B22,1))</f>
        <v>0</v>
      </c>
      <c r="D22">
        <f>SUMIFS('Fluxo de Caixa'!G:G, 'Fluxo de Caixa'!H:H, "Conclu*", 'Fluxo de Caixa'!D:D, "&gt;="&amp;B22, 'Fluxo de Caixa'!D:D, "&lt;"&amp;EDATE(B22,1))</f>
        <v>0</v>
      </c>
      <c r="E22">
        <f t="shared" si="0"/>
        <v>0</v>
      </c>
      <c r="I22" s="86" t="s">
        <v>62</v>
      </c>
      <c r="J22" s="93">
        <v>0</v>
      </c>
      <c r="N22" s="78"/>
      <c r="O22" s="78"/>
      <c r="P22" s="78"/>
      <c r="U22" s="86" t="s">
        <v>20</v>
      </c>
      <c r="V22" s="87">
        <v>835.82</v>
      </c>
    </row>
    <row r="23" spans="2:23" x14ac:dyDescent="0.25">
      <c r="B23" s="1">
        <v>46539</v>
      </c>
      <c r="C23">
        <f>SUMIFS('Fluxo de Caixa'!Y:Y, 'Fluxo de Caixa'!Z:Z, "Conclu*", 'Fluxo de Caixa'!V:V, "&gt;="&amp;B23, 'Fluxo de Caixa'!V:V, "&lt;"&amp;EDATE(B23,1))</f>
        <v>0</v>
      </c>
      <c r="D23">
        <f>SUMIFS('Fluxo de Caixa'!G:G, 'Fluxo de Caixa'!H:H, "Conclu*", 'Fluxo de Caixa'!D:D, "&gt;="&amp;B23, 'Fluxo de Caixa'!D:D, "&lt;"&amp;EDATE(B23,1))</f>
        <v>0</v>
      </c>
      <c r="E23">
        <f t="shared" si="0"/>
        <v>0</v>
      </c>
      <c r="I23" s="86" t="s">
        <v>63</v>
      </c>
      <c r="J23" s="93">
        <v>0</v>
      </c>
      <c r="U23" s="86" t="s">
        <v>18</v>
      </c>
      <c r="V23" s="87">
        <v>331.9</v>
      </c>
    </row>
    <row r="24" spans="2:23" x14ac:dyDescent="0.25">
      <c r="B24" s="1">
        <v>46569</v>
      </c>
      <c r="C24">
        <f>SUMIFS('Fluxo de Caixa'!Y:Y, 'Fluxo de Caixa'!Z:Z, "Conclu*", 'Fluxo de Caixa'!V:V, "&gt;="&amp;B24, 'Fluxo de Caixa'!V:V, "&lt;"&amp;EDATE(B24,1))</f>
        <v>0</v>
      </c>
      <c r="D24">
        <f>SUMIFS('Fluxo de Caixa'!G:G, 'Fluxo de Caixa'!H:H, "Conclu*", 'Fluxo de Caixa'!D:D, "&gt;="&amp;B24, 'Fluxo de Caixa'!D:D, "&lt;"&amp;EDATE(B24,1))</f>
        <v>0</v>
      </c>
      <c r="E24">
        <f t="shared" si="0"/>
        <v>0</v>
      </c>
      <c r="I24" s="86" t="s">
        <v>47</v>
      </c>
      <c r="J24" s="93">
        <v>-1893.5400000000004</v>
      </c>
      <c r="U24" s="86" t="s">
        <v>25</v>
      </c>
      <c r="V24" s="87">
        <v>1292.3800000000001</v>
      </c>
    </row>
    <row r="25" spans="2:23" x14ac:dyDescent="0.25">
      <c r="B25" s="1">
        <v>46600</v>
      </c>
      <c r="C25">
        <f>SUMIFS('Fluxo de Caixa'!Y:Y, 'Fluxo de Caixa'!Z:Z, "Conclu*", 'Fluxo de Caixa'!V:V, "&gt;="&amp;B25, 'Fluxo de Caixa'!V:V, "&lt;"&amp;EDATE(B25,1))</f>
        <v>0</v>
      </c>
      <c r="D25">
        <f>SUMIFS('Fluxo de Caixa'!G:G, 'Fluxo de Caixa'!H:H, "Conclu*", 'Fluxo de Caixa'!D:D, "&gt;="&amp;B25, 'Fluxo de Caixa'!D:D, "&lt;"&amp;EDATE(B25,1))</f>
        <v>0</v>
      </c>
      <c r="E25">
        <f t="shared" si="0"/>
        <v>0</v>
      </c>
      <c r="U25" s="86" t="s">
        <v>14</v>
      </c>
      <c r="V25" s="87">
        <v>250</v>
      </c>
    </row>
    <row r="26" spans="2:23" x14ac:dyDescent="0.25">
      <c r="B26" s="1">
        <v>46631</v>
      </c>
      <c r="C26">
        <f>SUMIFS('Fluxo de Caixa'!Y:Y, 'Fluxo de Caixa'!Z:Z, "Conclu*", 'Fluxo de Caixa'!V:V, "&gt;="&amp;B26, 'Fluxo de Caixa'!V:V, "&lt;"&amp;EDATE(B26,1))</f>
        <v>0</v>
      </c>
      <c r="D26">
        <f>SUMIFS('Fluxo de Caixa'!G:G, 'Fluxo de Caixa'!H:H, "Conclu*", 'Fluxo de Caixa'!D:D, "&gt;="&amp;B26, 'Fluxo de Caixa'!D:D, "&lt;"&amp;EDATE(B26,1))</f>
        <v>0</v>
      </c>
      <c r="E26">
        <f t="shared" si="0"/>
        <v>0</v>
      </c>
      <c r="U26" s="86" t="s">
        <v>47</v>
      </c>
      <c r="V26" s="87">
        <v>3000.4300000000003</v>
      </c>
    </row>
    <row r="27" spans="2:23" x14ac:dyDescent="0.25">
      <c r="B27" s="1">
        <v>46661</v>
      </c>
      <c r="C27">
        <f>SUMIFS('Fluxo de Caixa'!Y:Y, 'Fluxo de Caixa'!Z:Z, "Conclu*", 'Fluxo de Caixa'!V:V, "&gt;="&amp;B27, 'Fluxo de Caixa'!V:V, "&lt;"&amp;EDATE(B27,1))</f>
        <v>0</v>
      </c>
      <c r="D27">
        <f>SUMIFS('Fluxo de Caixa'!G:G, 'Fluxo de Caixa'!H:H, "Conclu*", 'Fluxo de Caixa'!D:D, "&gt;="&amp;B27, 'Fluxo de Caixa'!D:D, "&lt;"&amp;EDATE(B27,1))</f>
        <v>0</v>
      </c>
      <c r="E27">
        <f t="shared" si="0"/>
        <v>0</v>
      </c>
    </row>
    <row r="28" spans="2:23" x14ac:dyDescent="0.25">
      <c r="B28" s="1">
        <v>46692</v>
      </c>
      <c r="C28">
        <f>SUMIFS('Fluxo de Caixa'!Y:Y, 'Fluxo de Caixa'!Z:Z, "Conclu*", 'Fluxo de Caixa'!V:V, "&gt;="&amp;B28, 'Fluxo de Caixa'!V:V, "&lt;"&amp;EDATE(B28,1))</f>
        <v>0</v>
      </c>
      <c r="D28">
        <f>SUMIFS('Fluxo de Caixa'!G:G, 'Fluxo de Caixa'!H:H, "Conclu*", 'Fluxo de Caixa'!D:D, "&gt;="&amp;B28, 'Fluxo de Caixa'!D:D, "&lt;"&amp;EDATE(B28,1))</f>
        <v>0</v>
      </c>
      <c r="E28">
        <f t="shared" si="0"/>
        <v>0</v>
      </c>
    </row>
    <row r="29" spans="2:23" x14ac:dyDescent="0.25">
      <c r="B29" s="1">
        <v>46722</v>
      </c>
      <c r="C29">
        <f>SUMIFS('Fluxo de Caixa'!Y:Y, 'Fluxo de Caixa'!Z:Z, "Conclu*", 'Fluxo de Caixa'!V:V, "&gt;="&amp;B29, 'Fluxo de Caixa'!V:V, "&lt;"&amp;EDATE(B29,1))</f>
        <v>0</v>
      </c>
      <c r="D29">
        <f>SUMIFS('Fluxo de Caixa'!G:G, 'Fluxo de Caixa'!H:H, "Conclu*", 'Fluxo de Caixa'!D:D, "&gt;="&amp;B29, 'Fluxo de Caixa'!D:D, "&lt;"&amp;EDATE(B29,1))</f>
        <v>0</v>
      </c>
      <c r="E29">
        <f t="shared" si="0"/>
        <v>0</v>
      </c>
    </row>
    <row r="30" spans="2:23" x14ac:dyDescent="0.25">
      <c r="B30" s="1">
        <v>46753</v>
      </c>
      <c r="C30">
        <f>SUMIFS('Fluxo de Caixa'!Y:Y, 'Fluxo de Caixa'!Z:Z, "Conclu*", 'Fluxo de Caixa'!V:V, "&gt;="&amp;B30, 'Fluxo de Caixa'!V:V, "&lt;"&amp;EDATE(B30,1))</f>
        <v>0</v>
      </c>
      <c r="D30">
        <f>SUMIFS('Fluxo de Caixa'!G:G, 'Fluxo de Caixa'!H:H, "Conclu*", 'Fluxo de Caixa'!D:D, "&gt;="&amp;B30, 'Fluxo de Caixa'!D:D, "&lt;"&amp;EDATE(B30,1))</f>
        <v>0</v>
      </c>
      <c r="E30">
        <f t="shared" si="0"/>
        <v>0</v>
      </c>
    </row>
    <row r="31" spans="2:23" x14ac:dyDescent="0.25">
      <c r="B31" s="1">
        <v>46784</v>
      </c>
      <c r="C31">
        <f>SUMIFS('Fluxo de Caixa'!Y:Y, 'Fluxo de Caixa'!Z:Z, "Conclu*", 'Fluxo de Caixa'!V:V, "&gt;="&amp;B31, 'Fluxo de Caixa'!V:V, "&lt;"&amp;EDATE(B31,1))</f>
        <v>0</v>
      </c>
      <c r="D31">
        <f>SUMIFS('Fluxo de Caixa'!G:G, 'Fluxo de Caixa'!H:H, "Conclu*", 'Fluxo de Caixa'!D:D, "&gt;="&amp;B31, 'Fluxo de Caixa'!D:D, "&lt;"&amp;EDATE(B31,1))</f>
        <v>0</v>
      </c>
      <c r="E31">
        <f t="shared" si="0"/>
        <v>0</v>
      </c>
    </row>
    <row r="32" spans="2:23" x14ac:dyDescent="0.25">
      <c r="B32" s="1">
        <v>46813</v>
      </c>
      <c r="C32">
        <f>SUMIFS('Fluxo de Caixa'!Y:Y, 'Fluxo de Caixa'!Z:Z, "Conclu*", 'Fluxo de Caixa'!V:V, "&gt;="&amp;B32, 'Fluxo de Caixa'!V:V, "&lt;"&amp;EDATE(B32,1))</f>
        <v>0</v>
      </c>
      <c r="D32">
        <f>SUMIFS('Fluxo de Caixa'!G:G, 'Fluxo de Caixa'!H:H, "Conclu*", 'Fluxo de Caixa'!D:D, "&gt;="&amp;B32, 'Fluxo de Caixa'!D:D, "&lt;"&amp;EDATE(B32,1))</f>
        <v>0</v>
      </c>
      <c r="E32">
        <f t="shared" si="0"/>
        <v>0</v>
      </c>
    </row>
    <row r="33" spans="2:5" x14ac:dyDescent="0.25">
      <c r="B33" s="1">
        <v>46844</v>
      </c>
      <c r="C33">
        <f>SUMIFS('Fluxo de Caixa'!Y:Y, 'Fluxo de Caixa'!Z:Z, "Conclu*", 'Fluxo de Caixa'!V:V, "&gt;="&amp;B33, 'Fluxo de Caixa'!V:V, "&lt;"&amp;EDATE(B33,1))</f>
        <v>0</v>
      </c>
      <c r="D33">
        <f>SUMIFS('Fluxo de Caixa'!G:G, 'Fluxo de Caixa'!H:H, "Conclu*", 'Fluxo de Caixa'!D:D, "&gt;="&amp;B33, 'Fluxo de Caixa'!D:D, "&lt;"&amp;EDATE(B33,1))</f>
        <v>0</v>
      </c>
      <c r="E33">
        <f t="shared" si="0"/>
        <v>0</v>
      </c>
    </row>
    <row r="34" spans="2:5" x14ac:dyDescent="0.25">
      <c r="B34" s="1">
        <v>46874</v>
      </c>
      <c r="C34">
        <f>SUMIFS('Fluxo de Caixa'!Y:Y, 'Fluxo de Caixa'!Z:Z, "Conclu*", 'Fluxo de Caixa'!V:V, "&gt;="&amp;B34, 'Fluxo de Caixa'!V:V, "&lt;"&amp;EDATE(B34,1))</f>
        <v>0</v>
      </c>
      <c r="D34">
        <f>SUMIFS('Fluxo de Caixa'!G:G, 'Fluxo de Caixa'!H:H, "Conclu*", 'Fluxo de Caixa'!D:D, "&gt;="&amp;B34, 'Fluxo de Caixa'!D:D, "&lt;"&amp;EDATE(B34,1))</f>
        <v>0</v>
      </c>
      <c r="E34">
        <f t="shared" si="0"/>
        <v>0</v>
      </c>
    </row>
    <row r="35" spans="2:5" x14ac:dyDescent="0.25">
      <c r="B35" s="1">
        <v>46539</v>
      </c>
      <c r="C35">
        <f>SUMIFS('Fluxo de Caixa'!Y:Y, 'Fluxo de Caixa'!Z:Z, "Conclu*", 'Fluxo de Caixa'!V:V, "&gt;="&amp;B35, 'Fluxo de Caixa'!V:V, "&lt;"&amp;EDATE(B35,1))</f>
        <v>0</v>
      </c>
      <c r="D35">
        <f>SUMIFS('Fluxo de Caixa'!G:G, 'Fluxo de Caixa'!H:H, "Conclu*", 'Fluxo de Caixa'!D:D, "&gt;="&amp;B35, 'Fluxo de Caixa'!D:D, "&lt;"&amp;EDATE(B35,1))</f>
        <v>0</v>
      </c>
      <c r="E35">
        <f t="shared" si="0"/>
        <v>0</v>
      </c>
    </row>
    <row r="36" spans="2:5" x14ac:dyDescent="0.25">
      <c r="B36" s="1">
        <v>46935</v>
      </c>
      <c r="C36">
        <f>SUMIFS('Fluxo de Caixa'!Y:Y, 'Fluxo de Caixa'!Z:Z, "Conclu*", 'Fluxo de Caixa'!V:V, "&gt;="&amp;B36, 'Fluxo de Caixa'!V:V, "&lt;"&amp;EDATE(B36,1))</f>
        <v>0</v>
      </c>
      <c r="D36">
        <f>SUMIFS('Fluxo de Caixa'!G:G, 'Fluxo de Caixa'!H:H, "Conclu*", 'Fluxo de Caixa'!D:D, "&gt;="&amp;B36, 'Fluxo de Caixa'!D:D, "&lt;"&amp;EDATE(B36,1))</f>
        <v>0</v>
      </c>
      <c r="E36">
        <f t="shared" si="0"/>
        <v>0</v>
      </c>
    </row>
    <row r="37" spans="2:5" x14ac:dyDescent="0.25">
      <c r="B37" s="1">
        <v>46966</v>
      </c>
      <c r="C37">
        <f>SUMIFS('Fluxo de Caixa'!Y:Y, 'Fluxo de Caixa'!Z:Z, "Conclu*", 'Fluxo de Caixa'!V:V, "&gt;="&amp;B37, 'Fluxo de Caixa'!V:V, "&lt;"&amp;EDATE(B37,1))</f>
        <v>0</v>
      </c>
      <c r="D37">
        <f>SUMIFS('Fluxo de Caixa'!G:G, 'Fluxo de Caixa'!H:H, "Conclu*", 'Fluxo de Caixa'!D:D, "&gt;="&amp;B37, 'Fluxo de Caixa'!D:D, "&lt;"&amp;EDATE(B37,1))</f>
        <v>0</v>
      </c>
      <c r="E37">
        <f t="shared" si="0"/>
        <v>0</v>
      </c>
    </row>
    <row r="38" spans="2:5" x14ac:dyDescent="0.25">
      <c r="B38" s="1">
        <v>46997</v>
      </c>
      <c r="C38">
        <f>SUMIFS('Fluxo de Caixa'!Y:Y, 'Fluxo de Caixa'!Z:Z, "Conclu*", 'Fluxo de Caixa'!V:V, "&gt;="&amp;B38, 'Fluxo de Caixa'!V:V, "&lt;"&amp;EDATE(B38,1))</f>
        <v>0</v>
      </c>
      <c r="D38">
        <f>SUMIFS('Fluxo de Caixa'!G:G, 'Fluxo de Caixa'!H:H, "Conclu*", 'Fluxo de Caixa'!D:D, "&gt;="&amp;B38, 'Fluxo de Caixa'!D:D, "&lt;"&amp;EDATE(B38,1))</f>
        <v>0</v>
      </c>
      <c r="E38">
        <f t="shared" si="0"/>
        <v>0</v>
      </c>
    </row>
    <row r="39" spans="2:5" x14ac:dyDescent="0.25">
      <c r="B39" s="1">
        <v>47027</v>
      </c>
      <c r="C39">
        <f>SUMIFS('Fluxo de Caixa'!Y:Y, 'Fluxo de Caixa'!Z:Z, "Conclu*", 'Fluxo de Caixa'!V:V, "&gt;="&amp;B39, 'Fluxo de Caixa'!V:V, "&lt;"&amp;EDATE(B39,1))</f>
        <v>0</v>
      </c>
      <c r="D39">
        <f>SUMIFS('Fluxo de Caixa'!G:G, 'Fluxo de Caixa'!H:H, "Conclu*", 'Fluxo de Caixa'!D:D, "&gt;="&amp;B39, 'Fluxo de Caixa'!D:D, "&lt;"&amp;EDATE(B39,1))</f>
        <v>0</v>
      </c>
      <c r="E39">
        <f t="shared" si="0"/>
        <v>0</v>
      </c>
    </row>
    <row r="40" spans="2:5" x14ac:dyDescent="0.25">
      <c r="B40" s="1">
        <v>47058</v>
      </c>
      <c r="C40">
        <f>SUMIFS('Fluxo de Caixa'!Y:Y, 'Fluxo de Caixa'!Z:Z, "Conclu*", 'Fluxo de Caixa'!V:V, "&gt;="&amp;B40, 'Fluxo de Caixa'!V:V, "&lt;"&amp;EDATE(B40,1))</f>
        <v>0</v>
      </c>
      <c r="D40">
        <f>SUMIFS('Fluxo de Caixa'!G:G, 'Fluxo de Caixa'!H:H, "Conclu*", 'Fluxo de Caixa'!D:D, "&gt;="&amp;B40, 'Fluxo de Caixa'!D:D, "&lt;"&amp;EDATE(B40,1))</f>
        <v>0</v>
      </c>
      <c r="E40">
        <f t="shared" si="0"/>
        <v>0</v>
      </c>
    </row>
    <row r="41" spans="2:5" x14ac:dyDescent="0.25">
      <c r="B41" s="1">
        <v>47088</v>
      </c>
      <c r="C41">
        <f>SUMIFS('Fluxo de Caixa'!Y:Y, 'Fluxo de Caixa'!Z:Z, "Conclu*", 'Fluxo de Caixa'!V:V, "&gt;="&amp;B41, 'Fluxo de Caixa'!V:V, "&lt;"&amp;EDATE(B41,1))</f>
        <v>0</v>
      </c>
      <c r="D41">
        <f>SUMIFS('Fluxo de Caixa'!G:G, 'Fluxo de Caixa'!H:H, "Conclu*", 'Fluxo de Caixa'!D:D, "&gt;="&amp;B41, 'Fluxo de Caixa'!D:D, "&lt;"&amp;EDATE(B41,1))</f>
        <v>0</v>
      </c>
      <c r="E41">
        <f t="shared" si="0"/>
        <v>0</v>
      </c>
    </row>
  </sheetData>
  <mergeCells count="1">
    <mergeCell ref="N21:P22"/>
  </mergeCells>
  <pageMargins left="0.511811024" right="0.511811024" top="0.78740157499999996" bottom="0.78740157499999996" header="0.31496062000000002" footer="0.31496062000000002"/>
  <drawing r:id="rId3"/>
  <tableParts count="1"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Fluxo de Caixa</vt:lpstr>
      <vt:lpstr>Insights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Lima</dc:creator>
  <cp:lastModifiedBy>Lucas Lima</cp:lastModifiedBy>
  <dcterms:created xsi:type="dcterms:W3CDTF">2026-01-27T12:00:42Z</dcterms:created>
  <dcterms:modified xsi:type="dcterms:W3CDTF">2026-02-08T08:15:56Z</dcterms:modified>
</cp:coreProperties>
</file>