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971b915a749257f/Desktop/"/>
    </mc:Choice>
  </mc:AlternateContent>
  <xr:revisionPtr revIDLastSave="2773" documentId="8_{6FD41906-D271-4117-A388-055C224DCE93}" xr6:coauthVersionLast="47" xr6:coauthVersionMax="47" xr10:uidLastSave="{1E1E5A61-249D-4D2D-BF89-C3065638736D}"/>
  <bookViews>
    <workbookView xWindow="-1860" yWindow="-16320" windowWidth="29040" windowHeight="15720" xr2:uid="{59CC716D-42DD-421C-880C-557A9277ECC5}"/>
  </bookViews>
  <sheets>
    <sheet name="Fluxo de Caixa" sheetId="1" r:id="rId1"/>
    <sheet name="Insights" sheetId="2" r:id="rId2"/>
  </sheets>
  <definedNames>
    <definedName name="_xlnm._FilterDatabase" localSheetId="0" hidden="1">'Fluxo de Caixa'!$C$24:$H$24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" l="1"/>
  <c r="O26" i="1"/>
  <c r="D18" i="2"/>
  <c r="D19" i="2"/>
  <c r="D20" i="2"/>
  <c r="D21" i="2"/>
  <c r="D22" i="2"/>
  <c r="D23" i="2"/>
  <c r="D24" i="2"/>
  <c r="D25" i="2"/>
  <c r="D26" i="2"/>
  <c r="D27" i="2"/>
  <c r="D28" i="2"/>
  <c r="D29" i="2"/>
  <c r="C18" i="2"/>
  <c r="C19" i="2"/>
  <c r="C20" i="2"/>
  <c r="C21" i="2"/>
  <c r="C22" i="2"/>
  <c r="C23" i="2"/>
  <c r="C24" i="2"/>
  <c r="C25" i="2"/>
  <c r="C26" i="2"/>
  <c r="C27" i="2"/>
  <c r="C28" i="2"/>
  <c r="C29" i="2"/>
  <c r="D7" i="2"/>
  <c r="D8" i="2"/>
  <c r="D9" i="2"/>
  <c r="D10" i="2"/>
  <c r="D11" i="2"/>
  <c r="D12" i="2"/>
  <c r="D13" i="2"/>
  <c r="D14" i="2"/>
  <c r="D15" i="2"/>
  <c r="D16" i="2"/>
  <c r="D17" i="2"/>
  <c r="D6" i="2"/>
  <c r="C7" i="2"/>
  <c r="C8" i="2"/>
  <c r="C9" i="2"/>
  <c r="C10" i="2"/>
  <c r="C11" i="2"/>
  <c r="C12" i="2"/>
  <c r="C13" i="2"/>
  <c r="C14" i="2"/>
  <c r="C15" i="2"/>
  <c r="C16" i="2"/>
  <c r="C17" i="2"/>
  <c r="C6" i="2"/>
  <c r="E14" i="2" l="1"/>
  <c r="E25" i="2"/>
  <c r="E13" i="2"/>
  <c r="E24" i="2"/>
  <c r="E12" i="2"/>
  <c r="E23" i="2"/>
  <c r="E11" i="2"/>
  <c r="E22" i="2"/>
  <c r="E6" i="2"/>
  <c r="E10" i="2"/>
  <c r="E29" i="2"/>
  <c r="E21" i="2"/>
  <c r="E17" i="2"/>
  <c r="E9" i="2"/>
  <c r="E28" i="2"/>
  <c r="E20" i="2"/>
  <c r="E16" i="2"/>
  <c r="E8" i="2"/>
  <c r="E27" i="2"/>
  <c r="E19" i="2"/>
  <c r="E15" i="2"/>
  <c r="E7" i="2"/>
  <c r="E26" i="2"/>
  <c r="E18" i="2"/>
</calcChain>
</file>

<file path=xl/sharedStrings.xml><?xml version="1.0" encoding="utf-8"?>
<sst xmlns="http://schemas.openxmlformats.org/spreadsheetml/2006/main" count="96" uniqueCount="45">
  <si>
    <t>Data Prevista</t>
  </si>
  <si>
    <t xml:space="preserve">Valores </t>
  </si>
  <si>
    <t>Data Realização</t>
  </si>
  <si>
    <t>Status</t>
  </si>
  <si>
    <t xml:space="preserve">Descrição </t>
  </si>
  <si>
    <t>Tópicos</t>
  </si>
  <si>
    <t xml:space="preserve">SALDO </t>
  </si>
  <si>
    <t>Salários</t>
  </si>
  <si>
    <t xml:space="preserve">Dívida de gastos mestre Sussa </t>
  </si>
  <si>
    <t>Gasto Variavel</t>
  </si>
  <si>
    <t>Pendente</t>
  </si>
  <si>
    <t xml:space="preserve">Pagamento referente a cardápio do  restaurante Dames </t>
  </si>
  <si>
    <t>Freelance</t>
  </si>
  <si>
    <t>Divida de gastos Saídas 2025</t>
  </si>
  <si>
    <t xml:space="preserve">Pagamentos de Aulas Auto Escola </t>
  </si>
  <si>
    <t xml:space="preserve">Salário estágio Stigma System </t>
  </si>
  <si>
    <t>Salário estágio INSS</t>
  </si>
  <si>
    <t>VALOR INVESTIDO</t>
  </si>
  <si>
    <t xml:space="preserve">Mensalidade Digital College </t>
  </si>
  <si>
    <t>Gasto Fixo</t>
  </si>
  <si>
    <t>Gastos Crédito especial Banco do Brasil</t>
  </si>
  <si>
    <t>Venda de Férias INSS</t>
  </si>
  <si>
    <t>Vendas/Extras</t>
  </si>
  <si>
    <t>COFRINHO</t>
  </si>
  <si>
    <t xml:space="preserve">Despesa com Rodizio do aniversário </t>
  </si>
  <si>
    <t xml:space="preserve">Pagamento do cartão do Banco do Brasil </t>
  </si>
  <si>
    <t>Concluído</t>
  </si>
  <si>
    <t>Pagamento Mensalidade Jiu-jitsu (Gigueto)</t>
  </si>
  <si>
    <t xml:space="preserve">Lanche na Faculdade </t>
  </si>
  <si>
    <t>MÊS</t>
  </si>
  <si>
    <t>RECEITA</t>
  </si>
  <si>
    <t>DESPESA</t>
  </si>
  <si>
    <t>LUCRO</t>
  </si>
  <si>
    <t>atura VIVO</t>
  </si>
  <si>
    <t>INVESTIR DINHEIRO GUARDADO</t>
  </si>
  <si>
    <t xml:space="preserve">Uber para Diital College </t>
  </si>
  <si>
    <t>Profissional</t>
  </si>
  <si>
    <t>Imposto do MEI</t>
  </si>
  <si>
    <t xml:space="preserve">Uber gigueto </t>
  </si>
  <si>
    <t>Hobbys</t>
  </si>
  <si>
    <t>Papagamento referente a cardápio Alpha Açaí</t>
  </si>
  <si>
    <t>Saída com Amor Brittus</t>
  </si>
  <si>
    <t>Uber ida saída saída com amor Brittus</t>
  </si>
  <si>
    <t>Uber volta saída saída com amor Brittus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</si>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</sst>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;;;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5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theme="1"/>
      </right>
      <top style="thin">
        <color theme="0"/>
      </top>
      <bottom/>
      <diagonal/>
    </border>
    <border>
      <left style="double">
        <color rgb="FF3F3F3F"/>
      </left>
      <right style="thin">
        <color theme="0"/>
      </right>
      <top style="double">
        <color rgb="FF3F3F3F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/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9">
    <xf numFmtId="0" fontId="0" fillId="0" borderId="0" xfId="0"/>
    <xf numFmtId="0" fontId="2" fillId="3" borderId="2" xfId="0" applyFont="1" applyFill="1" applyBorder="1" applyProtection="1">
      <protection locked="0"/>
    </xf>
    <xf numFmtId="14" fontId="0" fillId="0" borderId="0" xfId="0" applyNumberFormat="1"/>
    <xf numFmtId="0" fontId="0" fillId="4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2" fillId="4" borderId="0" xfId="0" applyFont="1" applyFill="1" applyProtection="1">
      <protection locked="0"/>
    </xf>
    <xf numFmtId="0" fontId="2" fillId="4" borderId="6" xfId="0" applyFont="1" applyFill="1" applyBorder="1" applyProtection="1">
      <protection locked="0"/>
    </xf>
    <xf numFmtId="0" fontId="2" fillId="4" borderId="7" xfId="0" applyFont="1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4" borderId="11" xfId="0" applyFill="1" applyBorder="1" applyProtection="1">
      <protection locked="0"/>
    </xf>
    <xf numFmtId="0" fontId="4" fillId="4" borderId="11" xfId="0" applyFont="1" applyFill="1" applyBorder="1" applyProtection="1">
      <protection locked="0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4" borderId="32" xfId="0" applyFill="1" applyBorder="1" applyProtection="1">
      <protection locked="0"/>
    </xf>
    <xf numFmtId="0" fontId="0" fillId="4" borderId="35" xfId="0" applyFill="1" applyBorder="1" applyProtection="1">
      <protection locked="0"/>
    </xf>
    <xf numFmtId="0" fontId="0" fillId="4" borderId="37" xfId="0" applyFill="1" applyBorder="1" applyProtection="1">
      <protection locked="0"/>
    </xf>
    <xf numFmtId="0" fontId="0" fillId="4" borderId="38" xfId="0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2" fillId="4" borderId="41" xfId="0" applyFont="1" applyFill="1" applyBorder="1" applyProtection="1">
      <protection locked="0"/>
    </xf>
    <xf numFmtId="0" fontId="2" fillId="4" borderId="40" xfId="0" applyFont="1" applyFill="1" applyBorder="1" applyProtection="1">
      <protection locked="0"/>
    </xf>
    <xf numFmtId="0" fontId="2" fillId="4" borderId="42" xfId="0" applyFont="1" applyFill="1" applyBorder="1" applyProtection="1">
      <protection locked="0"/>
    </xf>
    <xf numFmtId="0" fontId="2" fillId="4" borderId="24" xfId="0" applyFont="1" applyFill="1" applyBorder="1" applyProtection="1">
      <protection locked="0"/>
    </xf>
    <xf numFmtId="0" fontId="2" fillId="4" borderId="23" xfId="0" applyFont="1" applyFill="1" applyBorder="1" applyProtection="1">
      <protection locked="0"/>
    </xf>
    <xf numFmtId="0" fontId="2" fillId="4" borderId="18" xfId="0" applyFont="1" applyFill="1" applyBorder="1" applyProtection="1">
      <protection locked="0"/>
    </xf>
    <xf numFmtId="0" fontId="2" fillId="4" borderId="43" xfId="0" applyFont="1" applyFill="1" applyBorder="1" applyProtection="1">
      <protection locked="0"/>
    </xf>
    <xf numFmtId="0" fontId="2" fillId="4" borderId="35" xfId="0" applyFont="1" applyFill="1" applyBorder="1" applyProtection="1">
      <protection locked="0"/>
    </xf>
    <xf numFmtId="0" fontId="2" fillId="4" borderId="44" xfId="0" applyFont="1" applyFill="1" applyBorder="1" applyProtection="1">
      <protection locked="0"/>
    </xf>
    <xf numFmtId="14" fontId="1" fillId="5" borderId="25" xfId="1" applyNumberFormat="1" applyFill="1" applyBorder="1" applyAlignment="1" applyProtection="1">
      <alignment horizontal="left"/>
      <protection locked="0"/>
    </xf>
    <xf numFmtId="14" fontId="1" fillId="5" borderId="1" xfId="1" applyNumberFormat="1" applyFill="1" applyAlignment="1" applyProtection="1">
      <alignment horizontal="left"/>
      <protection locked="0"/>
    </xf>
    <xf numFmtId="0" fontId="1" fillId="5" borderId="1" xfId="1" applyFill="1" applyProtection="1">
      <protection locked="0"/>
    </xf>
    <xf numFmtId="164" fontId="1" fillId="5" borderId="1" xfId="1" applyNumberFormat="1" applyFill="1" applyProtection="1">
      <protection locked="0"/>
    </xf>
    <xf numFmtId="0" fontId="1" fillId="5" borderId="20" xfId="1" applyFill="1" applyBorder="1" applyProtection="1">
      <protection locked="0"/>
    </xf>
    <xf numFmtId="14" fontId="1" fillId="5" borderId="22" xfId="1" applyNumberFormat="1" applyFill="1" applyBorder="1" applyAlignment="1" applyProtection="1">
      <alignment horizontal="left"/>
      <protection locked="0"/>
    </xf>
    <xf numFmtId="0" fontId="1" fillId="5" borderId="21" xfId="1" applyFill="1" applyBorder="1" applyProtection="1">
      <protection locked="0"/>
    </xf>
    <xf numFmtId="0" fontId="1" fillId="5" borderId="1" xfId="1" applyFill="1" applyAlignment="1" applyProtection="1">
      <alignment horizontal="left"/>
      <protection locked="0"/>
    </xf>
    <xf numFmtId="14" fontId="1" fillId="5" borderId="33" xfId="1" applyNumberFormat="1" applyFill="1" applyBorder="1" applyAlignment="1" applyProtection="1">
      <alignment horizontal="left"/>
      <protection locked="0"/>
    </xf>
    <xf numFmtId="0" fontId="1" fillId="5" borderId="34" xfId="1" applyFill="1" applyBorder="1" applyAlignment="1" applyProtection="1">
      <alignment horizontal="left"/>
      <protection locked="0"/>
    </xf>
    <xf numFmtId="0" fontId="1" fillId="5" borderId="34" xfId="1" applyFill="1" applyBorder="1" applyProtection="1">
      <protection locked="0"/>
    </xf>
    <xf numFmtId="164" fontId="1" fillId="5" borderId="34" xfId="1" applyNumberFormat="1" applyFill="1" applyBorder="1" applyProtection="1">
      <protection locked="0"/>
    </xf>
    <xf numFmtId="0" fontId="1" fillId="5" borderId="36" xfId="1" applyFill="1" applyBorder="1" applyProtection="1">
      <protection locked="0"/>
    </xf>
    <xf numFmtId="14" fontId="1" fillId="5" borderId="21" xfId="1" applyNumberFormat="1" applyFill="1" applyBorder="1" applyProtection="1">
      <protection locked="0"/>
    </xf>
    <xf numFmtId="0" fontId="1" fillId="5" borderId="47" xfId="1" applyFill="1" applyBorder="1" applyProtection="1">
      <protection locked="0"/>
    </xf>
    <xf numFmtId="0" fontId="1" fillId="5" borderId="48" xfId="1" applyFill="1" applyBorder="1" applyProtection="1">
      <protection locked="0"/>
    </xf>
    <xf numFmtId="0" fontId="1" fillId="5" borderId="49" xfId="1" applyFill="1" applyBorder="1" applyProtection="1">
      <protection locked="0"/>
    </xf>
    <xf numFmtId="0" fontId="1" fillId="5" borderId="50" xfId="1" applyFill="1" applyBorder="1" applyProtection="1">
      <protection locked="0"/>
    </xf>
    <xf numFmtId="0" fontId="0" fillId="4" borderId="43" xfId="0" applyFill="1" applyBorder="1" applyProtection="1">
      <protection locked="0"/>
    </xf>
    <xf numFmtId="14" fontId="1" fillId="5" borderId="47" xfId="1" applyNumberFormat="1" applyFill="1" applyBorder="1" applyProtection="1">
      <protection locked="0"/>
    </xf>
    <xf numFmtId="164" fontId="3" fillId="4" borderId="8" xfId="0" applyNumberFormat="1" applyFont="1" applyFill="1" applyBorder="1" applyAlignment="1" applyProtection="1">
      <alignment horizontal="right"/>
      <protection locked="0"/>
    </xf>
    <xf numFmtId="164" fontId="3" fillId="4" borderId="31" xfId="0" applyNumberFormat="1" applyFont="1" applyFill="1" applyBorder="1" applyAlignment="1" applyProtection="1">
      <alignment horizontal="right"/>
      <protection locked="0"/>
    </xf>
    <xf numFmtId="164" fontId="3" fillId="4" borderId="9" xfId="0" applyNumberFormat="1" applyFont="1" applyFill="1" applyBorder="1" applyAlignment="1" applyProtection="1">
      <alignment horizontal="right"/>
      <protection locked="0"/>
    </xf>
    <xf numFmtId="164" fontId="3" fillId="4" borderId="45" xfId="0" applyNumberFormat="1" applyFont="1" applyFill="1" applyBorder="1" applyAlignment="1" applyProtection="1">
      <alignment horizontal="right"/>
      <protection locked="0"/>
    </xf>
    <xf numFmtId="164" fontId="3" fillId="4" borderId="26" xfId="0" applyNumberFormat="1" applyFont="1" applyFill="1" applyBorder="1" applyAlignment="1" applyProtection="1">
      <alignment horizontal="right"/>
      <protection locked="0"/>
    </xf>
    <xf numFmtId="164" fontId="3" fillId="4" borderId="46" xfId="0" applyNumberFormat="1" applyFont="1" applyFill="1" applyBorder="1" applyAlignment="1" applyProtection="1">
      <alignment horizontal="right"/>
      <protection locked="0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164" fontId="3" fillId="4" borderId="13" xfId="0" applyNumberFormat="1" applyFont="1" applyFill="1" applyBorder="1" applyAlignment="1">
      <alignment horizontal="right"/>
    </xf>
    <xf numFmtId="164" fontId="3" fillId="4" borderId="14" xfId="0" applyNumberFormat="1" applyFont="1" applyFill="1" applyBorder="1" applyAlignment="1">
      <alignment horizontal="right"/>
    </xf>
    <xf numFmtId="164" fontId="3" fillId="4" borderId="16" xfId="0" applyNumberFormat="1" applyFont="1" applyFill="1" applyBorder="1" applyAlignment="1">
      <alignment horizontal="right"/>
    </xf>
    <xf numFmtId="164" fontId="3" fillId="4" borderId="17" xfId="0" applyNumberFormat="1" applyFont="1" applyFill="1" applyBorder="1" applyAlignment="1">
      <alignment horizontal="right"/>
    </xf>
    <xf numFmtId="165" fontId="3" fillId="4" borderId="12" xfId="0" applyNumberFormat="1" applyFont="1" applyFill="1" applyBorder="1" applyAlignment="1" applyProtection="1">
      <alignment horizontal="right"/>
      <protection locked="0"/>
    </xf>
    <xf numFmtId="165" fontId="3" fillId="4" borderId="13" xfId="0" applyNumberFormat="1" applyFont="1" applyFill="1" applyBorder="1" applyAlignment="1" applyProtection="1">
      <alignment horizontal="right"/>
      <protection locked="0"/>
    </xf>
    <xf numFmtId="165" fontId="3" fillId="4" borderId="14" xfId="0" applyNumberFormat="1" applyFont="1" applyFill="1" applyBorder="1" applyAlignment="1" applyProtection="1">
      <alignment horizontal="right"/>
      <protection locked="0"/>
    </xf>
    <xf numFmtId="165" fontId="3" fillId="4" borderId="15" xfId="0" applyNumberFormat="1" applyFont="1" applyFill="1" applyBorder="1" applyAlignment="1" applyProtection="1">
      <alignment horizontal="right"/>
      <protection locked="0"/>
    </xf>
    <xf numFmtId="165" fontId="3" fillId="4" borderId="16" xfId="0" applyNumberFormat="1" applyFont="1" applyFill="1" applyBorder="1" applyAlignment="1" applyProtection="1">
      <alignment horizontal="right"/>
      <protection locked="0"/>
    </xf>
    <xf numFmtId="165" fontId="3" fillId="4" borderId="17" xfId="0" applyNumberFormat="1" applyFont="1" applyFill="1" applyBorder="1" applyAlignment="1" applyProtection="1">
      <alignment horizontal="right"/>
      <protection locked="0"/>
    </xf>
  </cellXfs>
  <cellStyles count="2">
    <cellStyle name="Célula de Verificação" xfId="1" builtinId="23"/>
    <cellStyle name="Normal" xfId="0" builtinId="0"/>
  </cellStyles>
  <dxfs count="2">
    <dxf>
      <font>
        <color theme="1"/>
      </font>
      <fill>
        <patternFill>
          <bgColor rgb="FFF2A93B"/>
        </patternFill>
      </fill>
    </dxf>
    <dxf>
      <font>
        <color theme="1"/>
      </font>
      <fill>
        <patternFill>
          <bgColor rgb="FF2ECC71"/>
        </patternFill>
      </fill>
    </dxf>
  </dxfs>
  <tableStyles count="0" defaultTableStyle="TableStyleMedium2" defaultPivotStyle="PivotStyleLight16"/>
  <colors>
    <mruColors>
      <color rgb="FFF2A93B"/>
      <color rgb="FF2ECC71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de Resultado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F2A93B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Insights!$B$6:$B$29</c:f>
              <c:numCache>
                <c:formatCode>m/d/yyyy</c:formatCode>
                <c:ptCount val="24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  <c:pt idx="12">
                  <c:v>46388</c:v>
                </c:pt>
                <c:pt idx="13">
                  <c:v>46419</c:v>
                </c:pt>
                <c:pt idx="14">
                  <c:v>46447</c:v>
                </c:pt>
                <c:pt idx="15">
                  <c:v>46478</c:v>
                </c:pt>
                <c:pt idx="16">
                  <c:v>46508</c:v>
                </c:pt>
                <c:pt idx="17">
                  <c:v>46539</c:v>
                </c:pt>
                <c:pt idx="18">
                  <c:v>46569</c:v>
                </c:pt>
                <c:pt idx="19">
                  <c:v>46600</c:v>
                </c:pt>
                <c:pt idx="20">
                  <c:v>46631</c:v>
                </c:pt>
                <c:pt idx="21">
                  <c:v>46661</c:v>
                </c:pt>
                <c:pt idx="22">
                  <c:v>46692</c:v>
                </c:pt>
                <c:pt idx="23">
                  <c:v>46722</c:v>
                </c:pt>
              </c:numCache>
            </c:numRef>
          </c:cat>
          <c:val>
            <c:numRef>
              <c:f>Insights!$E$6:$E$29</c:f>
              <c:numCache>
                <c:formatCode>General</c:formatCode>
                <c:ptCount val="24"/>
                <c:pt idx="0">
                  <c:v>0</c:v>
                </c:pt>
                <c:pt idx="1">
                  <c:v>-1886.1100000000006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B-4229-A492-F3FE7707C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983439"/>
        <c:axId val="1950982479"/>
      </c:lineChart>
      <c:dateAx>
        <c:axId val="1950983439"/>
        <c:scaling>
          <c:orientation val="minMax"/>
        </c:scaling>
        <c:delete val="0"/>
        <c:axPos val="b"/>
        <c:numFmt formatCode="mmmm\,\ yyyy;@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0982479"/>
        <c:crosses val="autoZero"/>
        <c:auto val="1"/>
        <c:lblOffset val="100"/>
        <c:baseTimeUnit val="months"/>
      </c:dateAx>
      <c:valAx>
        <c:axId val="19509824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098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sigh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hyperlink" Target="#'Fluxo de Caixa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608540</xdr:colOff>
      <xdr:row>19</xdr:row>
      <xdr:rowOff>92605</xdr:rowOff>
    </xdr:from>
    <xdr:ext cx="10080625" cy="65987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0980400-7F29-C128-89CE-FA9C9F607228}"/>
            </a:ext>
          </a:extLst>
        </xdr:cNvPr>
        <xdr:cNvSpPr txBox="1"/>
      </xdr:nvSpPr>
      <xdr:spPr>
        <a:xfrm>
          <a:off x="1217082" y="3876147"/>
          <a:ext cx="10080625" cy="65987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DESPESAS </a:t>
          </a:r>
        </a:p>
      </xdr:txBody>
    </xdr:sp>
    <xdr:clientData/>
  </xdr:oneCellAnchor>
  <xdr:oneCellAnchor>
    <xdr:from>
      <xdr:col>10</xdr:col>
      <xdr:colOff>1</xdr:colOff>
      <xdr:row>19</xdr:row>
      <xdr:rowOff>62816</xdr:rowOff>
    </xdr:from>
    <xdr:ext cx="5991223" cy="723418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27E80BA-29C2-EDA5-5361-BF79539BD7A0}"/>
            </a:ext>
          </a:extLst>
        </xdr:cNvPr>
        <xdr:cNvSpPr txBox="1"/>
      </xdr:nvSpPr>
      <xdr:spPr>
        <a:xfrm>
          <a:off x="10944226" y="3682316"/>
          <a:ext cx="5991223" cy="7234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Carteira </a:t>
          </a:r>
        </a:p>
      </xdr:txBody>
    </xdr:sp>
    <xdr:clientData/>
  </xdr:oneCellAnchor>
  <xdr:oneCellAnchor>
    <xdr:from>
      <xdr:col>20</xdr:col>
      <xdr:colOff>0</xdr:colOff>
      <xdr:row>19</xdr:row>
      <xdr:rowOff>76200</xdr:rowOff>
    </xdr:from>
    <xdr:ext cx="10265832" cy="676275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C94862D-90BE-4DD1-B106-5F4E4EACCF65}"/>
            </a:ext>
          </a:extLst>
        </xdr:cNvPr>
        <xdr:cNvSpPr txBox="1"/>
      </xdr:nvSpPr>
      <xdr:spPr>
        <a:xfrm>
          <a:off x="19685000" y="3859742"/>
          <a:ext cx="10265832" cy="67627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GANHOS</a:t>
          </a:r>
        </a:p>
        <a:p>
          <a:r>
            <a:rPr lang="pt-BR" sz="4000">
              <a:solidFill>
                <a:schemeClr val="bg1"/>
              </a:solidFill>
            </a:rPr>
            <a:t> </a:t>
          </a:r>
        </a:p>
      </xdr:txBody>
    </xdr:sp>
    <xdr:clientData/>
  </xdr:oneCellAnchor>
  <xdr:twoCellAnchor>
    <xdr:from>
      <xdr:col>12</xdr:col>
      <xdr:colOff>1022881</xdr:colOff>
      <xdr:row>16</xdr:row>
      <xdr:rowOff>291042</xdr:rowOff>
    </xdr:from>
    <xdr:to>
      <xdr:col>14</xdr:col>
      <xdr:colOff>383646</xdr:colOff>
      <xdr:row>18</xdr:row>
      <xdr:rowOff>238124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C3FEFC-97EC-FEEB-017C-F01848E0ECA5}"/>
            </a:ext>
          </a:extLst>
        </xdr:cNvPr>
        <xdr:cNvSpPr/>
      </xdr:nvSpPr>
      <xdr:spPr>
        <a:xfrm>
          <a:off x="14119756" y="3254375"/>
          <a:ext cx="1675869" cy="44979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tx1"/>
              </a:solidFill>
            </a:rPr>
            <a:t>📊 Dashboard</a:t>
          </a:r>
          <a:endParaRPr lang="pt-BR" sz="18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92603</xdr:colOff>
      <xdr:row>0</xdr:row>
      <xdr:rowOff>0</xdr:rowOff>
    </xdr:from>
    <xdr:to>
      <xdr:col>18</xdr:col>
      <xdr:colOff>476249</xdr:colOff>
      <xdr:row>16</xdr:row>
      <xdr:rowOff>224897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62A6A71-66D8-215D-19A5-C84DACF9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853" y="0"/>
          <a:ext cx="6958542" cy="318823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476250</xdr:colOff>
      <xdr:row>15</xdr:row>
      <xdr:rowOff>13229</xdr:rowOff>
    </xdr:from>
    <xdr:to>
      <xdr:col>18</xdr:col>
      <xdr:colOff>317499</xdr:colOff>
      <xdr:row>16</xdr:row>
      <xdr:rowOff>185208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0D938A1-ED22-9ADB-B458-AAB79689308E}"/>
            </a:ext>
          </a:extLst>
        </xdr:cNvPr>
        <xdr:cNvSpPr/>
      </xdr:nvSpPr>
      <xdr:spPr>
        <a:xfrm>
          <a:off x="17713854" y="2791354"/>
          <a:ext cx="449791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12</xdr:row>
      <xdr:rowOff>161925</xdr:rowOff>
    </xdr:from>
    <xdr:to>
      <xdr:col>17</xdr:col>
      <xdr:colOff>142875</xdr:colOff>
      <xdr:row>14</xdr:row>
      <xdr:rowOff>66675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9227E-0474-44C6-BF1D-8210F90C53AC}"/>
            </a:ext>
          </a:extLst>
        </xdr:cNvPr>
        <xdr:cNvSpPr/>
      </xdr:nvSpPr>
      <xdr:spPr>
        <a:xfrm>
          <a:off x="9191625" y="2447925"/>
          <a:ext cx="1314450" cy="2857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/>
            <a:t>🏠</a:t>
          </a:r>
          <a:r>
            <a:rPr lang="pt-BR" b="1">
              <a:solidFill>
                <a:schemeClr val="tx1"/>
              </a:solidFill>
            </a:rPr>
            <a:t>Fluxo</a:t>
          </a:r>
          <a:r>
            <a:rPr lang="pt-BR" b="1" baseline="0">
              <a:solidFill>
                <a:schemeClr val="tx1"/>
              </a:solidFill>
            </a:rPr>
            <a:t> de Caixa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12</xdr:col>
      <xdr:colOff>355602</xdr:colOff>
      <xdr:row>0</xdr:row>
      <xdr:rowOff>0</xdr:rowOff>
    </xdr:from>
    <xdr:to>
      <xdr:col>19</xdr:col>
      <xdr:colOff>419100</xdr:colOff>
      <xdr:row>12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830C771-AFF3-AF2E-4EE1-009C13BA2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8927" y="0"/>
          <a:ext cx="4330698" cy="236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171450</xdr:colOff>
      <xdr:row>10</xdr:row>
      <xdr:rowOff>161925</xdr:rowOff>
    </xdr:from>
    <xdr:to>
      <xdr:col>19</xdr:col>
      <xdr:colOff>352425</xdr:colOff>
      <xdr:row>12</xdr:row>
      <xdr:rowOff>0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6ADE6F8C-617D-CB82-1559-CC3C9164CCEA}"/>
            </a:ext>
          </a:extLst>
        </xdr:cNvPr>
        <xdr:cNvSpPr/>
      </xdr:nvSpPr>
      <xdr:spPr>
        <a:xfrm>
          <a:off x="11991975" y="2076450"/>
          <a:ext cx="180975" cy="2190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514350</xdr:colOff>
      <xdr:row>14</xdr:row>
      <xdr:rowOff>128587</xdr:rowOff>
    </xdr:from>
    <xdr:to>
      <xdr:col>24</xdr:col>
      <xdr:colOff>104775</xdr:colOff>
      <xdr:row>37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BC72261-4F24-21D5-845E-B65558D76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FAC-9CCB-48DA-83E0-861FF330DE62}">
  <sheetPr codeName="Planilha1"/>
  <dimension ref="A4:AA180"/>
  <sheetViews>
    <sheetView showGridLines="0" tabSelected="1" topLeftCell="A10" zoomScale="72" zoomScaleNormal="100" workbookViewId="0">
      <selection activeCell="G45" sqref="G45"/>
    </sheetView>
  </sheetViews>
  <sheetFormatPr defaultRowHeight="15" x14ac:dyDescent="0.25"/>
  <cols>
    <col min="1" max="2" width="9.140625" style="4"/>
    <col min="3" max="3" width="19" style="4" customWidth="1"/>
    <col min="4" max="4" width="22.28515625" style="4" customWidth="1"/>
    <col min="5" max="5" width="54.140625" style="4" customWidth="1"/>
    <col min="6" max="6" width="19.85546875" style="4" customWidth="1"/>
    <col min="7" max="7" width="17.140625" style="4" customWidth="1"/>
    <col min="8" max="8" width="18.7109375" style="4" customWidth="1"/>
    <col min="9" max="12" width="9.140625" style="4"/>
    <col min="13" max="13" width="25.5703125" style="4" customWidth="1"/>
    <col min="14" max="20" width="9.140625" style="4"/>
    <col min="21" max="21" width="15.7109375" style="4" customWidth="1"/>
    <col min="22" max="22" width="18.85546875" style="4" customWidth="1"/>
    <col min="23" max="23" width="70" style="4" customWidth="1"/>
    <col min="24" max="24" width="19.42578125" style="4" customWidth="1"/>
    <col min="25" max="25" width="16" style="4" customWidth="1"/>
    <col min="26" max="26" width="13.7109375" style="4" customWidth="1"/>
    <col min="27" max="16384" width="9.140625" style="4"/>
  </cols>
  <sheetData>
    <row r="4" spans="5:23" x14ac:dyDescent="0.25">
      <c r="G4" s="21"/>
    </row>
    <row r="5" spans="5:23" x14ac:dyDescent="0.25">
      <c r="F5" s="57"/>
      <c r="G5" s="58"/>
      <c r="H5" s="58"/>
      <c r="I5" s="59"/>
    </row>
    <row r="6" spans="5:23" x14ac:dyDescent="0.25">
      <c r="E6" s="13"/>
      <c r="F6" s="60"/>
      <c r="G6" s="61"/>
      <c r="H6" s="61"/>
      <c r="I6" s="62"/>
    </row>
    <row r="7" spans="5:23" x14ac:dyDescent="0.25">
      <c r="E7" s="13"/>
    </row>
    <row r="9" spans="5:23" x14ac:dyDescent="0.25">
      <c r="H9" s="13"/>
    </row>
    <row r="12" spans="5:23" x14ac:dyDescent="0.25">
      <c r="G12" s="57"/>
      <c r="H12" s="58"/>
      <c r="I12" s="58"/>
      <c r="J12" s="59"/>
    </row>
    <row r="13" spans="5:23" x14ac:dyDescent="0.25">
      <c r="G13" s="60"/>
      <c r="H13" s="61"/>
      <c r="I13" s="61"/>
      <c r="J13" s="62"/>
    </row>
    <row r="15" spans="5:23" x14ac:dyDescent="0.25">
      <c r="W15" s="10"/>
    </row>
    <row r="17" spans="1:26" ht="25.5" customHeight="1" x14ac:dyDescent="0.25"/>
    <row r="19" spans="1:26" ht="25.5" customHeight="1" x14ac:dyDescent="0.25"/>
    <row r="21" spans="1:26" x14ac:dyDescent="0.25">
      <c r="Z21" s="9"/>
    </row>
    <row r="22" spans="1:26" x14ac:dyDescent="0.25">
      <c r="Z22" s="9"/>
    </row>
    <row r="23" spans="1:26" x14ac:dyDescent="0.25">
      <c r="C23" s="10"/>
      <c r="D23" s="10"/>
      <c r="E23" s="10"/>
      <c r="F23" s="10"/>
      <c r="G23" s="10"/>
      <c r="H23" s="11"/>
      <c r="I23" s="25"/>
      <c r="K23" s="5"/>
      <c r="L23" s="6"/>
      <c r="M23" s="6"/>
      <c r="N23" s="6"/>
      <c r="O23" s="6"/>
      <c r="P23" s="6"/>
      <c r="Q23" s="6"/>
      <c r="R23" s="7"/>
      <c r="Z23" s="9"/>
    </row>
    <row r="24" spans="1:26" ht="24" customHeight="1" thickBot="1" x14ac:dyDescent="0.3">
      <c r="B24" s="9"/>
      <c r="C24" s="30" t="s">
        <v>0</v>
      </c>
      <c r="D24" s="12" t="s">
        <v>2</v>
      </c>
      <c r="E24" s="12" t="s">
        <v>4</v>
      </c>
      <c r="F24" s="12" t="s">
        <v>5</v>
      </c>
      <c r="G24" s="12" t="s">
        <v>1</v>
      </c>
      <c r="H24" s="28" t="s">
        <v>3</v>
      </c>
      <c r="I24" s="29"/>
      <c r="J24" s="26"/>
      <c r="K24" s="63" t="s">
        <v>6</v>
      </c>
      <c r="L24" s="64"/>
      <c r="M24" s="64"/>
      <c r="N24" s="65"/>
      <c r="O24" s="69">
        <v>-2222.1600000000008</v>
      </c>
      <c r="P24" s="69"/>
      <c r="Q24" s="69"/>
      <c r="R24" s="70"/>
      <c r="T24" s="9"/>
      <c r="U24" s="10" t="s">
        <v>0</v>
      </c>
      <c r="V24" s="33" t="s">
        <v>2</v>
      </c>
      <c r="W24" s="33" t="s">
        <v>4</v>
      </c>
      <c r="X24" s="33" t="s">
        <v>5</v>
      </c>
      <c r="Y24" s="32" t="s">
        <v>1</v>
      </c>
      <c r="Z24" s="31" t="s">
        <v>3</v>
      </c>
    </row>
    <row r="25" spans="1:26" ht="16.5" customHeight="1" thickTop="1" thickBot="1" x14ac:dyDescent="0.3">
      <c r="C25" s="37">
        <v>46055</v>
      </c>
      <c r="D25" s="38">
        <v>46056</v>
      </c>
      <c r="E25" s="39" t="s">
        <v>8</v>
      </c>
      <c r="F25" s="39" t="s">
        <v>9</v>
      </c>
      <c r="G25" s="40">
        <v>82.5</v>
      </c>
      <c r="H25" s="41" t="s">
        <v>26</v>
      </c>
      <c r="I25" s="27"/>
      <c r="K25" s="66"/>
      <c r="L25" s="67"/>
      <c r="M25" s="67"/>
      <c r="N25" s="68"/>
      <c r="O25" s="71"/>
      <c r="P25" s="71"/>
      <c r="Q25" s="71"/>
      <c r="R25" s="72"/>
      <c r="T25" s="9"/>
      <c r="U25" s="56">
        <v>46055</v>
      </c>
      <c r="V25" s="50">
        <v>46054</v>
      </c>
      <c r="W25" s="43" t="s">
        <v>16</v>
      </c>
      <c r="X25" s="43" t="s">
        <v>7</v>
      </c>
      <c r="Y25" s="43">
        <v>1306.3800000000001</v>
      </c>
      <c r="Z25" s="43" t="s">
        <v>26</v>
      </c>
    </row>
    <row r="26" spans="1:26" ht="16.5" thickTop="1" thickBot="1" x14ac:dyDescent="0.3">
      <c r="A26" s="15"/>
      <c r="B26" s="14"/>
      <c r="C26" s="42">
        <v>46055</v>
      </c>
      <c r="D26" s="38">
        <v>46055</v>
      </c>
      <c r="E26" s="39" t="s">
        <v>13</v>
      </c>
      <c r="F26" s="39" t="s">
        <v>9</v>
      </c>
      <c r="G26" s="40">
        <v>290.33</v>
      </c>
      <c r="H26" s="41" t="s">
        <v>26</v>
      </c>
      <c r="I26" s="8"/>
      <c r="K26" s="63" t="s">
        <v>17</v>
      </c>
      <c r="L26" s="64"/>
      <c r="M26" s="64"/>
      <c r="N26" s="65"/>
      <c r="O26" s="69">
        <f>SUMIF(F:F,"Investimento",G:G)</f>
        <v>0</v>
      </c>
      <c r="P26" s="69"/>
      <c r="Q26" s="69"/>
      <c r="R26" s="70"/>
      <c r="T26" s="9"/>
      <c r="U26" s="56">
        <v>46058</v>
      </c>
      <c r="V26" s="50">
        <v>46059</v>
      </c>
      <c r="W26" s="43" t="s">
        <v>11</v>
      </c>
      <c r="X26" s="43" t="s">
        <v>12</v>
      </c>
      <c r="Y26" s="43">
        <v>50</v>
      </c>
      <c r="Z26" s="43" t="s">
        <v>26</v>
      </c>
    </row>
    <row r="27" spans="1:26" ht="16.5" customHeight="1" thickTop="1" thickBot="1" x14ac:dyDescent="0.3">
      <c r="A27" s="15"/>
      <c r="B27" s="9"/>
      <c r="C27" s="42">
        <v>46055</v>
      </c>
      <c r="D27" s="38"/>
      <c r="E27" s="39" t="s">
        <v>14</v>
      </c>
      <c r="F27" s="39" t="s">
        <v>9</v>
      </c>
      <c r="G27" s="40">
        <v>250</v>
      </c>
      <c r="H27" s="41" t="s">
        <v>10</v>
      </c>
      <c r="I27" s="8"/>
      <c r="K27" s="66"/>
      <c r="L27" s="67"/>
      <c r="M27" s="67"/>
      <c r="N27" s="68"/>
      <c r="O27" s="71"/>
      <c r="P27" s="71"/>
      <c r="Q27" s="71"/>
      <c r="R27" s="72"/>
      <c r="T27" s="9"/>
      <c r="U27" s="56">
        <v>46068</v>
      </c>
      <c r="V27" s="43"/>
      <c r="W27" s="43" t="s">
        <v>15</v>
      </c>
      <c r="X27" s="43" t="s">
        <v>7</v>
      </c>
      <c r="Y27" s="43">
        <v>600</v>
      </c>
      <c r="Z27" s="43" t="s">
        <v>10</v>
      </c>
    </row>
    <row r="28" spans="1:26" ht="16.5" customHeight="1" thickTop="1" thickBot="1" x14ac:dyDescent="0.3">
      <c r="A28" s="15"/>
      <c r="B28" s="9"/>
      <c r="C28" s="42">
        <v>46055</v>
      </c>
      <c r="D28" s="38">
        <v>46056</v>
      </c>
      <c r="E28" s="39" t="s">
        <v>18</v>
      </c>
      <c r="F28" s="39" t="s">
        <v>19</v>
      </c>
      <c r="G28" s="40">
        <v>331.9</v>
      </c>
      <c r="H28" s="43" t="s">
        <v>26</v>
      </c>
      <c r="K28" s="63" t="s">
        <v>23</v>
      </c>
      <c r="L28" s="64"/>
      <c r="M28" s="64"/>
      <c r="N28" s="65"/>
      <c r="O28" s="69">
        <f>SUMIF(F:F,"Cofrinho",G:G)</f>
        <v>0</v>
      </c>
      <c r="P28" s="69"/>
      <c r="Q28" s="69"/>
      <c r="R28" s="70"/>
      <c r="T28" s="9"/>
      <c r="U28" s="56">
        <v>46082</v>
      </c>
      <c r="V28" s="43"/>
      <c r="W28" s="43" t="s">
        <v>21</v>
      </c>
      <c r="X28" s="43" t="s">
        <v>22</v>
      </c>
      <c r="Y28" s="43">
        <v>800</v>
      </c>
      <c r="Z28" s="43" t="s">
        <v>10</v>
      </c>
    </row>
    <row r="29" spans="1:26" ht="16.5" thickTop="1" thickBot="1" x14ac:dyDescent="0.3">
      <c r="A29" s="15"/>
      <c r="B29" s="9"/>
      <c r="C29" s="42">
        <v>46055</v>
      </c>
      <c r="D29" s="38">
        <v>46055</v>
      </c>
      <c r="E29" s="39" t="s">
        <v>20</v>
      </c>
      <c r="F29" s="39" t="s">
        <v>9</v>
      </c>
      <c r="G29" s="40">
        <v>835.82</v>
      </c>
      <c r="H29" s="43" t="s">
        <v>26</v>
      </c>
      <c r="K29" s="66"/>
      <c r="L29" s="67"/>
      <c r="M29" s="67"/>
      <c r="N29" s="68"/>
      <c r="O29" s="71"/>
      <c r="P29" s="71"/>
      <c r="Q29" s="71"/>
      <c r="R29" s="72"/>
      <c r="T29" s="9"/>
      <c r="U29" s="56">
        <v>46058</v>
      </c>
      <c r="V29" s="50"/>
      <c r="W29" s="43" t="s">
        <v>40</v>
      </c>
      <c r="X29" s="43" t="s">
        <v>12</v>
      </c>
      <c r="Y29" s="43">
        <v>50</v>
      </c>
      <c r="Z29" s="43" t="s">
        <v>10</v>
      </c>
    </row>
    <row r="30" spans="1:26" ht="16.5" thickTop="1" thickBot="1" x14ac:dyDescent="0.3">
      <c r="A30" s="15"/>
      <c r="B30" s="9"/>
      <c r="C30" s="42">
        <v>46055</v>
      </c>
      <c r="D30" s="38">
        <v>46055</v>
      </c>
      <c r="E30" s="39" t="s">
        <v>24</v>
      </c>
      <c r="F30" s="39" t="s">
        <v>9</v>
      </c>
      <c r="G30" s="40">
        <v>60</v>
      </c>
      <c r="H30" s="43" t="s">
        <v>26</v>
      </c>
      <c r="K30" s="34"/>
      <c r="L30" s="10"/>
      <c r="M30" s="10"/>
      <c r="N30" s="10"/>
      <c r="O30" s="10"/>
      <c r="P30" s="10"/>
      <c r="Q30" s="10"/>
      <c r="R30" s="35"/>
      <c r="T30" s="9"/>
      <c r="U30" s="51"/>
      <c r="V30" s="50"/>
      <c r="W30" s="43"/>
      <c r="X30" s="43"/>
      <c r="Y30" s="43"/>
      <c r="Z30" s="43"/>
    </row>
    <row r="31" spans="1:26" ht="16.5" thickTop="1" thickBot="1" x14ac:dyDescent="0.3">
      <c r="A31" s="15"/>
      <c r="B31" s="9"/>
      <c r="C31" s="42">
        <v>46055</v>
      </c>
      <c r="D31" s="38">
        <v>46055</v>
      </c>
      <c r="E31" s="39" t="s">
        <v>25</v>
      </c>
      <c r="F31" s="39" t="s">
        <v>9</v>
      </c>
      <c r="G31" s="40">
        <v>1292.3800000000001</v>
      </c>
      <c r="H31" s="43" t="s">
        <v>26</v>
      </c>
      <c r="J31" s="15"/>
      <c r="K31" s="10"/>
      <c r="L31" s="10"/>
      <c r="M31" s="10"/>
      <c r="N31" s="10"/>
      <c r="O31" s="10"/>
      <c r="P31" s="10"/>
      <c r="Q31" s="10"/>
      <c r="R31" s="36"/>
      <c r="T31" s="9"/>
      <c r="U31" s="51"/>
      <c r="V31" s="50"/>
      <c r="W31" s="43"/>
      <c r="X31" s="43"/>
      <c r="Y31" s="43"/>
      <c r="Z31" s="43"/>
    </row>
    <row r="32" spans="1:26" ht="16.5" thickTop="1" thickBot="1" x14ac:dyDescent="0.3">
      <c r="A32" s="15"/>
      <c r="B32" s="9"/>
      <c r="C32" s="42">
        <v>46056</v>
      </c>
      <c r="D32" s="38">
        <v>46056</v>
      </c>
      <c r="E32" s="39" t="s">
        <v>27</v>
      </c>
      <c r="F32" s="39" t="s">
        <v>9</v>
      </c>
      <c r="G32" s="40">
        <v>195</v>
      </c>
      <c r="H32" s="43" t="s">
        <v>26</v>
      </c>
      <c r="K32" s="63" t="s">
        <v>34</v>
      </c>
      <c r="L32" s="64"/>
      <c r="M32" s="64"/>
      <c r="N32" s="64"/>
      <c r="O32" s="73">
        <v>2.5</v>
      </c>
      <c r="P32" s="74"/>
      <c r="Q32" s="74"/>
      <c r="R32" s="75"/>
      <c r="T32" s="9"/>
      <c r="U32" s="51"/>
      <c r="V32" s="43"/>
      <c r="W32" s="43"/>
      <c r="X32" s="43"/>
      <c r="Y32" s="43"/>
      <c r="Z32" s="43"/>
    </row>
    <row r="33" spans="1:26" ht="16.5" thickTop="1" thickBot="1" x14ac:dyDescent="0.3">
      <c r="A33" s="15"/>
      <c r="B33" s="9"/>
      <c r="C33" s="42">
        <v>46055</v>
      </c>
      <c r="D33" s="38">
        <v>46055</v>
      </c>
      <c r="E33" s="39" t="s">
        <v>28</v>
      </c>
      <c r="F33" s="39" t="s">
        <v>9</v>
      </c>
      <c r="G33" s="40">
        <v>9</v>
      </c>
      <c r="H33" s="43" t="s">
        <v>26</v>
      </c>
      <c r="K33" s="66"/>
      <c r="L33" s="67"/>
      <c r="M33" s="67"/>
      <c r="N33" s="67"/>
      <c r="O33" s="76"/>
      <c r="P33" s="77"/>
      <c r="Q33" s="77"/>
      <c r="R33" s="78"/>
      <c r="T33" s="9"/>
      <c r="U33" s="51"/>
      <c r="V33" s="43"/>
      <c r="W33" s="43"/>
      <c r="X33" s="43"/>
      <c r="Y33" s="43"/>
      <c r="Z33" s="43"/>
    </row>
    <row r="34" spans="1:26" ht="16.5" thickTop="1" thickBot="1" x14ac:dyDescent="0.3">
      <c r="A34" s="15"/>
      <c r="B34" s="9"/>
      <c r="C34" s="42">
        <v>46055</v>
      </c>
      <c r="D34" s="38">
        <v>46056</v>
      </c>
      <c r="E34" s="39" t="s">
        <v>33</v>
      </c>
      <c r="F34" s="39" t="s">
        <v>19</v>
      </c>
      <c r="G34" s="40">
        <v>54.11</v>
      </c>
      <c r="H34" s="43" t="s">
        <v>26</v>
      </c>
      <c r="O34" s="3" t="s">
        <v>44</v>
      </c>
      <c r="P34" s="3"/>
      <c r="Q34" s="3"/>
      <c r="R34" s="3"/>
      <c r="T34" s="9"/>
      <c r="U34" s="51"/>
      <c r="V34" s="43"/>
      <c r="W34" s="43"/>
      <c r="X34" s="43"/>
      <c r="Y34" s="43"/>
      <c r="Z34" s="43"/>
    </row>
    <row r="35" spans="1:26" ht="16.5" thickTop="1" thickBot="1" x14ac:dyDescent="0.3">
      <c r="A35" s="15"/>
      <c r="B35" s="9"/>
      <c r="C35" s="42">
        <v>46055</v>
      </c>
      <c r="D35" s="38">
        <v>46056</v>
      </c>
      <c r="E35" s="39" t="s">
        <v>35</v>
      </c>
      <c r="F35" s="39" t="s">
        <v>36</v>
      </c>
      <c r="G35" s="40">
        <v>6.32</v>
      </c>
      <c r="H35" s="43" t="s">
        <v>26</v>
      </c>
      <c r="T35" s="9"/>
      <c r="U35" s="51"/>
      <c r="V35" s="43"/>
      <c r="W35" s="43"/>
      <c r="X35" s="43"/>
      <c r="Y35" s="43"/>
      <c r="Z35" s="43"/>
    </row>
    <row r="36" spans="1:26" ht="16.5" thickTop="1" thickBot="1" x14ac:dyDescent="0.3">
      <c r="A36" s="15"/>
      <c r="B36" s="9"/>
      <c r="C36" s="42">
        <v>46073</v>
      </c>
      <c r="D36" s="44"/>
      <c r="E36" s="39" t="s">
        <v>37</v>
      </c>
      <c r="F36" s="39" t="s">
        <v>36</v>
      </c>
      <c r="G36" s="40">
        <v>86.05</v>
      </c>
      <c r="H36" s="43" t="s">
        <v>10</v>
      </c>
      <c r="T36" s="9"/>
      <c r="U36" s="51"/>
      <c r="V36" s="43"/>
      <c r="W36" s="43"/>
      <c r="X36" s="43"/>
      <c r="Y36" s="43"/>
      <c r="Z36" s="43"/>
    </row>
    <row r="37" spans="1:26" ht="16.5" thickTop="1" thickBot="1" x14ac:dyDescent="0.3">
      <c r="A37" s="15"/>
      <c r="B37" s="9"/>
      <c r="C37" s="42">
        <v>46056</v>
      </c>
      <c r="D37" s="38">
        <v>46056</v>
      </c>
      <c r="E37" s="39" t="s">
        <v>35</v>
      </c>
      <c r="F37" s="39" t="s">
        <v>36</v>
      </c>
      <c r="G37" s="40">
        <v>7.92</v>
      </c>
      <c r="H37" s="43" t="s">
        <v>26</v>
      </c>
      <c r="T37" s="9"/>
      <c r="U37" s="51"/>
      <c r="V37" s="43"/>
      <c r="W37" s="43"/>
      <c r="X37" s="43"/>
      <c r="Y37" s="43"/>
      <c r="Z37" s="43"/>
    </row>
    <row r="38" spans="1:26" ht="16.5" thickTop="1" thickBot="1" x14ac:dyDescent="0.3">
      <c r="A38" s="16"/>
      <c r="B38" s="9"/>
      <c r="C38" s="42">
        <v>46057</v>
      </c>
      <c r="D38" s="38">
        <v>46057</v>
      </c>
      <c r="E38" s="39" t="s">
        <v>38</v>
      </c>
      <c r="F38" s="39" t="s">
        <v>39</v>
      </c>
      <c r="G38" s="40">
        <v>2.96</v>
      </c>
      <c r="H38" s="43" t="s">
        <v>26</v>
      </c>
      <c r="T38" s="9"/>
      <c r="U38" s="51"/>
      <c r="V38" s="43"/>
      <c r="W38" s="43"/>
      <c r="X38" s="43"/>
      <c r="Y38" s="43"/>
      <c r="Z38" s="43"/>
    </row>
    <row r="39" spans="1:26" ht="16.5" thickTop="1" thickBot="1" x14ac:dyDescent="0.3">
      <c r="A39" s="15"/>
      <c r="B39" s="9"/>
      <c r="C39" s="42">
        <v>46057</v>
      </c>
      <c r="D39" s="38">
        <v>46057</v>
      </c>
      <c r="E39" s="39" t="s">
        <v>38</v>
      </c>
      <c r="F39" s="39" t="s">
        <v>39</v>
      </c>
      <c r="G39" s="40">
        <v>6.9</v>
      </c>
      <c r="H39" s="43" t="s">
        <v>26</v>
      </c>
      <c r="T39" s="9"/>
      <c r="U39" s="51"/>
      <c r="V39" s="43"/>
      <c r="W39" s="43"/>
      <c r="X39" s="43"/>
      <c r="Y39" s="43"/>
      <c r="Z39" s="43"/>
    </row>
    <row r="40" spans="1:26" ht="16.5" thickTop="1" thickBot="1" x14ac:dyDescent="0.3">
      <c r="A40" s="15"/>
      <c r="B40" s="9"/>
      <c r="C40" s="42">
        <v>46057</v>
      </c>
      <c r="D40" s="38">
        <v>46057</v>
      </c>
      <c r="E40" s="39" t="s">
        <v>28</v>
      </c>
      <c r="F40" s="39" t="s">
        <v>39</v>
      </c>
      <c r="G40" s="40">
        <v>11</v>
      </c>
      <c r="H40" s="43" t="s">
        <v>26</v>
      </c>
      <c r="T40" s="9"/>
      <c r="U40" s="51"/>
      <c r="V40" s="43"/>
      <c r="W40" s="43"/>
      <c r="X40" s="43"/>
      <c r="Y40" s="43"/>
      <c r="Z40" s="43"/>
    </row>
    <row r="41" spans="1:26" ht="16.5" thickTop="1" thickBot="1" x14ac:dyDescent="0.3">
      <c r="A41" s="15"/>
      <c r="B41" s="9"/>
      <c r="C41" s="42">
        <v>46057</v>
      </c>
      <c r="D41" s="38">
        <v>46058</v>
      </c>
      <c r="E41" s="39" t="s">
        <v>38</v>
      </c>
      <c r="F41" s="39" t="s">
        <v>39</v>
      </c>
      <c r="G41" s="40">
        <v>6.9</v>
      </c>
      <c r="H41" s="43" t="s">
        <v>26</v>
      </c>
      <c r="T41" s="9"/>
      <c r="U41" s="51"/>
      <c r="V41" s="43"/>
      <c r="W41" s="43"/>
      <c r="X41" s="43"/>
      <c r="Y41" s="43"/>
      <c r="Z41" s="43"/>
    </row>
    <row r="42" spans="1:26" ht="16.5" thickTop="1" thickBot="1" x14ac:dyDescent="0.3">
      <c r="A42" s="15"/>
      <c r="B42" s="9"/>
      <c r="C42" s="42">
        <v>46059</v>
      </c>
      <c r="D42" s="38">
        <v>46059</v>
      </c>
      <c r="E42" s="39" t="s">
        <v>41</v>
      </c>
      <c r="F42" s="39" t="s">
        <v>9</v>
      </c>
      <c r="G42" s="40">
        <v>32</v>
      </c>
      <c r="H42" s="43" t="s">
        <v>26</v>
      </c>
      <c r="T42" s="9"/>
      <c r="U42" s="51"/>
      <c r="V42" s="43"/>
      <c r="W42" s="43"/>
      <c r="X42" s="43"/>
      <c r="Y42" s="43"/>
      <c r="Z42" s="43"/>
    </row>
    <row r="43" spans="1:26" ht="16.5" thickTop="1" thickBot="1" x14ac:dyDescent="0.3">
      <c r="A43" s="15"/>
      <c r="B43" s="9"/>
      <c r="C43" s="42">
        <v>46059</v>
      </c>
      <c r="D43" s="38">
        <v>46060</v>
      </c>
      <c r="E43" s="39" t="s">
        <v>42</v>
      </c>
      <c r="F43" s="39" t="s">
        <v>9</v>
      </c>
      <c r="G43" s="40">
        <v>10.95</v>
      </c>
      <c r="H43" s="43" t="s">
        <v>26</v>
      </c>
      <c r="T43" s="9"/>
      <c r="U43" s="51"/>
      <c r="V43" s="43"/>
      <c r="W43" s="43"/>
      <c r="X43" s="43"/>
      <c r="Y43" s="43"/>
      <c r="Z43" s="43"/>
    </row>
    <row r="44" spans="1:26" ht="16.5" thickTop="1" thickBot="1" x14ac:dyDescent="0.3">
      <c r="A44" s="15"/>
      <c r="B44" s="9"/>
      <c r="C44" s="42">
        <v>46059</v>
      </c>
      <c r="D44" s="38">
        <v>46060</v>
      </c>
      <c r="E44" s="39" t="s">
        <v>43</v>
      </c>
      <c r="F44" s="39" t="s">
        <v>9</v>
      </c>
      <c r="G44" s="40">
        <v>6.5</v>
      </c>
      <c r="H44" s="43" t="s">
        <v>26</v>
      </c>
      <c r="T44" s="9"/>
      <c r="U44" s="51"/>
      <c r="V44" s="43"/>
      <c r="W44" s="43"/>
      <c r="X44" s="43"/>
      <c r="Y44" s="43"/>
      <c r="Z44" s="43"/>
    </row>
    <row r="45" spans="1:26" ht="16.5" thickTop="1" thickBot="1" x14ac:dyDescent="0.3">
      <c r="A45" s="15"/>
      <c r="B45" s="9"/>
      <c r="C45" s="42"/>
      <c r="D45" s="38"/>
      <c r="E45" s="39"/>
      <c r="F45" s="39"/>
      <c r="G45" s="40"/>
      <c r="H45" s="43"/>
      <c r="T45" s="9"/>
      <c r="U45" s="51"/>
      <c r="V45" s="43"/>
      <c r="W45" s="43"/>
      <c r="X45" s="43"/>
      <c r="Y45" s="43"/>
      <c r="Z45" s="43"/>
    </row>
    <row r="46" spans="1:26" ht="16.5" thickTop="1" thickBot="1" x14ac:dyDescent="0.3">
      <c r="A46" s="15"/>
      <c r="B46" s="9"/>
      <c r="C46" s="42"/>
      <c r="D46" s="38"/>
      <c r="E46" s="39"/>
      <c r="F46" s="39"/>
      <c r="G46" s="40"/>
      <c r="H46" s="43"/>
      <c r="T46" s="9"/>
      <c r="U46" s="51"/>
      <c r="V46" s="43"/>
      <c r="W46" s="43"/>
      <c r="X46" s="43"/>
      <c r="Y46" s="43"/>
      <c r="Z46" s="43"/>
    </row>
    <row r="47" spans="1:26" ht="16.5" thickTop="1" thickBot="1" x14ac:dyDescent="0.3">
      <c r="A47" s="15"/>
      <c r="B47" s="9"/>
      <c r="C47" s="42"/>
      <c r="D47" s="38"/>
      <c r="E47" s="39"/>
      <c r="F47" s="39"/>
      <c r="G47" s="40"/>
      <c r="H47" s="43"/>
      <c r="T47" s="9"/>
      <c r="U47" s="51"/>
      <c r="V47" s="43"/>
      <c r="W47" s="43"/>
      <c r="X47" s="43"/>
      <c r="Y47" s="43"/>
      <c r="Z47" s="43"/>
    </row>
    <row r="48" spans="1:26" ht="16.5" thickTop="1" thickBot="1" x14ac:dyDescent="0.3">
      <c r="A48" s="15"/>
      <c r="B48" s="9"/>
      <c r="C48" s="42"/>
      <c r="D48" s="38"/>
      <c r="E48" s="39"/>
      <c r="F48" s="39"/>
      <c r="G48" s="40"/>
      <c r="H48" s="43"/>
      <c r="T48" s="9"/>
      <c r="U48" s="51"/>
      <c r="V48" s="43"/>
      <c r="W48" s="43"/>
      <c r="X48" s="43"/>
      <c r="Y48" s="43"/>
      <c r="Z48" s="43"/>
    </row>
    <row r="49" spans="1:26" ht="16.5" thickTop="1" thickBot="1" x14ac:dyDescent="0.3">
      <c r="A49" s="15"/>
      <c r="B49" s="9"/>
      <c r="C49" s="42"/>
      <c r="D49" s="38"/>
      <c r="E49" s="39"/>
      <c r="F49" s="39"/>
      <c r="G49" s="40"/>
      <c r="H49" s="43"/>
      <c r="T49" s="9"/>
      <c r="U49" s="51"/>
      <c r="V49" s="43"/>
      <c r="W49" s="43"/>
      <c r="X49" s="43"/>
      <c r="Y49" s="43"/>
      <c r="Z49" s="43"/>
    </row>
    <row r="50" spans="1:26" ht="16.5" thickTop="1" thickBot="1" x14ac:dyDescent="0.3">
      <c r="A50" s="15"/>
      <c r="B50" s="9"/>
      <c r="C50" s="42"/>
      <c r="D50" s="44"/>
      <c r="E50" s="39"/>
      <c r="F50" s="39"/>
      <c r="G50" s="40"/>
      <c r="H50" s="43"/>
      <c r="T50" s="9"/>
      <c r="U50" s="51"/>
      <c r="V50" s="43"/>
      <c r="W50" s="43"/>
      <c r="X50" s="43"/>
      <c r="Y50" s="43"/>
      <c r="Z50" s="43"/>
    </row>
    <row r="51" spans="1:26" ht="16.5" thickTop="1" thickBot="1" x14ac:dyDescent="0.3">
      <c r="A51" s="15"/>
      <c r="B51" s="9"/>
      <c r="C51" s="42"/>
      <c r="D51" s="44"/>
      <c r="E51" s="39"/>
      <c r="F51" s="39"/>
      <c r="G51" s="40"/>
      <c r="H51" s="43"/>
      <c r="T51" s="9"/>
      <c r="U51" s="51"/>
      <c r="V51" s="43"/>
      <c r="W51" s="43"/>
      <c r="X51" s="43"/>
      <c r="Y51" s="43"/>
      <c r="Z51" s="43"/>
    </row>
    <row r="52" spans="1:26" ht="16.5" thickTop="1" thickBot="1" x14ac:dyDescent="0.3">
      <c r="A52" s="15"/>
      <c r="B52" s="9"/>
      <c r="C52" s="42"/>
      <c r="D52" s="44"/>
      <c r="E52" s="39"/>
      <c r="F52" s="39"/>
      <c r="G52" s="40"/>
      <c r="H52" s="43"/>
      <c r="T52" s="9"/>
      <c r="U52" s="51"/>
      <c r="V52" s="43"/>
      <c r="W52" s="43"/>
      <c r="X52" s="43"/>
      <c r="Y52" s="43"/>
      <c r="Z52" s="43"/>
    </row>
    <row r="53" spans="1:26" ht="16.5" thickTop="1" thickBot="1" x14ac:dyDescent="0.3">
      <c r="A53" s="15"/>
      <c r="B53" s="9"/>
      <c r="C53" s="42"/>
      <c r="D53" s="44"/>
      <c r="E53" s="39"/>
      <c r="F53" s="39"/>
      <c r="G53" s="40"/>
      <c r="H53" s="43"/>
      <c r="T53" s="9"/>
      <c r="U53" s="51"/>
      <c r="V53" s="43"/>
      <c r="W53" s="43"/>
      <c r="X53" s="43"/>
      <c r="Y53" s="43"/>
      <c r="Z53" s="43"/>
    </row>
    <row r="54" spans="1:26" ht="16.5" thickTop="1" thickBot="1" x14ac:dyDescent="0.3">
      <c r="A54" s="15"/>
      <c r="B54" s="9"/>
      <c r="C54" s="42"/>
      <c r="D54" s="44"/>
      <c r="E54" s="39"/>
      <c r="F54" s="39"/>
      <c r="G54" s="40"/>
      <c r="H54" s="43"/>
      <c r="T54" s="9"/>
      <c r="U54" s="51"/>
      <c r="V54" s="43"/>
      <c r="W54" s="43"/>
      <c r="X54" s="43"/>
      <c r="Y54" s="43"/>
      <c r="Z54" s="43"/>
    </row>
    <row r="55" spans="1:26" ht="16.5" thickTop="1" thickBot="1" x14ac:dyDescent="0.3">
      <c r="A55" s="15"/>
      <c r="B55" s="9"/>
      <c r="C55" s="42"/>
      <c r="D55" s="44"/>
      <c r="E55" s="39"/>
      <c r="F55" s="39"/>
      <c r="G55" s="40"/>
      <c r="H55" s="43"/>
      <c r="T55" s="9"/>
      <c r="U55" s="51"/>
      <c r="V55" s="43"/>
      <c r="W55" s="43"/>
      <c r="X55" s="43"/>
      <c r="Y55" s="43"/>
      <c r="Z55" s="43"/>
    </row>
    <row r="56" spans="1:26" ht="16.5" thickTop="1" thickBot="1" x14ac:dyDescent="0.3">
      <c r="A56" s="15"/>
      <c r="B56" s="9"/>
      <c r="C56" s="42"/>
      <c r="D56" s="44"/>
      <c r="E56" s="39"/>
      <c r="F56" s="39"/>
      <c r="G56" s="40"/>
      <c r="H56" s="43"/>
      <c r="T56" s="9"/>
      <c r="U56" s="51"/>
      <c r="V56" s="43"/>
      <c r="W56" s="43"/>
      <c r="X56" s="43"/>
      <c r="Y56" s="43"/>
      <c r="Z56" s="43"/>
    </row>
    <row r="57" spans="1:26" ht="16.5" thickTop="1" thickBot="1" x14ac:dyDescent="0.3">
      <c r="A57" s="15"/>
      <c r="B57" s="9"/>
      <c r="C57" s="42"/>
      <c r="D57" s="44"/>
      <c r="E57" s="39"/>
      <c r="F57" s="39"/>
      <c r="G57" s="40"/>
      <c r="H57" s="43"/>
      <c r="T57" s="9"/>
      <c r="U57" s="51"/>
      <c r="V57" s="43"/>
      <c r="W57" s="43"/>
      <c r="X57" s="43"/>
      <c r="Y57" s="43"/>
      <c r="Z57" s="43"/>
    </row>
    <row r="58" spans="1:26" ht="16.5" thickTop="1" thickBot="1" x14ac:dyDescent="0.3">
      <c r="A58" s="17"/>
      <c r="B58" s="9"/>
      <c r="C58" s="42"/>
      <c r="D58" s="44"/>
      <c r="E58" s="39"/>
      <c r="F58" s="39"/>
      <c r="G58" s="40"/>
      <c r="H58" s="43"/>
      <c r="T58" s="9"/>
      <c r="U58" s="51"/>
      <c r="V58" s="43"/>
      <c r="W58" s="43"/>
      <c r="X58" s="43"/>
      <c r="Y58" s="43"/>
      <c r="Z58" s="43"/>
    </row>
    <row r="59" spans="1:26" ht="16.5" thickTop="1" thickBot="1" x14ac:dyDescent="0.3">
      <c r="A59" s="18"/>
      <c r="B59" s="9"/>
      <c r="C59" s="42"/>
      <c r="D59" s="44"/>
      <c r="E59" s="39"/>
      <c r="F59" s="39"/>
      <c r="G59" s="40"/>
      <c r="H59" s="43"/>
      <c r="T59" s="9"/>
      <c r="U59" s="51"/>
      <c r="V59" s="43"/>
      <c r="W59" s="43"/>
      <c r="X59" s="43"/>
      <c r="Y59" s="43"/>
      <c r="Z59" s="43"/>
    </row>
    <row r="60" spans="1:26" ht="16.5" thickTop="1" thickBot="1" x14ac:dyDescent="0.3">
      <c r="A60" s="18"/>
      <c r="B60" s="9"/>
      <c r="C60" s="42"/>
      <c r="D60" s="44"/>
      <c r="E60" s="39"/>
      <c r="F60" s="39"/>
      <c r="G60" s="40"/>
      <c r="H60" s="43"/>
      <c r="T60" s="9"/>
      <c r="U60" s="51"/>
      <c r="V60" s="43"/>
      <c r="W60" s="43"/>
      <c r="X60" s="43"/>
      <c r="Y60" s="43"/>
      <c r="Z60" s="43"/>
    </row>
    <row r="61" spans="1:26" ht="16.5" thickTop="1" thickBot="1" x14ac:dyDescent="0.3">
      <c r="A61" s="18"/>
      <c r="B61" s="9"/>
      <c r="C61" s="42"/>
      <c r="D61" s="44"/>
      <c r="E61" s="39"/>
      <c r="F61" s="39"/>
      <c r="G61" s="40"/>
      <c r="H61" s="43"/>
      <c r="T61" s="9"/>
      <c r="U61" s="51"/>
      <c r="V61" s="43"/>
      <c r="W61" s="43"/>
      <c r="X61" s="43"/>
      <c r="Y61" s="43"/>
      <c r="Z61" s="43"/>
    </row>
    <row r="62" spans="1:26" ht="16.5" thickTop="1" thickBot="1" x14ac:dyDescent="0.3">
      <c r="A62" s="18"/>
      <c r="B62" s="9"/>
      <c r="C62" s="42"/>
      <c r="D62" s="44"/>
      <c r="E62" s="39"/>
      <c r="F62" s="39"/>
      <c r="G62" s="40"/>
      <c r="H62" s="43"/>
      <c r="T62" s="9"/>
      <c r="U62" s="51"/>
      <c r="V62" s="43"/>
      <c r="W62" s="43"/>
      <c r="X62" s="43"/>
      <c r="Y62" s="43"/>
      <c r="Z62" s="43"/>
    </row>
    <row r="63" spans="1:26" ht="16.5" thickTop="1" thickBot="1" x14ac:dyDescent="0.3">
      <c r="A63" s="18"/>
      <c r="B63" s="9"/>
      <c r="C63" s="42"/>
      <c r="D63" s="44"/>
      <c r="E63" s="39"/>
      <c r="F63" s="39"/>
      <c r="G63" s="40"/>
      <c r="H63" s="43"/>
      <c r="T63" s="9"/>
      <c r="U63" s="51"/>
      <c r="V63" s="43"/>
      <c r="W63" s="43"/>
      <c r="X63" s="43"/>
      <c r="Y63" s="43"/>
      <c r="Z63" s="43"/>
    </row>
    <row r="64" spans="1:26" ht="16.5" thickTop="1" thickBot="1" x14ac:dyDescent="0.3">
      <c r="A64" s="18"/>
      <c r="B64" s="9"/>
      <c r="C64" s="42"/>
      <c r="D64" s="44"/>
      <c r="E64" s="39"/>
      <c r="F64" s="39"/>
      <c r="G64" s="40"/>
      <c r="H64" s="43"/>
      <c r="T64" s="9"/>
      <c r="U64" s="51"/>
      <c r="V64" s="43"/>
      <c r="W64" s="43"/>
      <c r="X64" s="43"/>
      <c r="Y64" s="43"/>
      <c r="Z64" s="43"/>
    </row>
    <row r="65" spans="1:26" ht="16.5" thickTop="1" thickBot="1" x14ac:dyDescent="0.3">
      <c r="A65" s="18"/>
      <c r="B65" s="9"/>
      <c r="C65" s="42"/>
      <c r="D65" s="44"/>
      <c r="E65" s="39"/>
      <c r="F65" s="39"/>
      <c r="G65" s="40"/>
      <c r="H65" s="43"/>
      <c r="T65" s="9"/>
      <c r="U65" s="51"/>
      <c r="V65" s="43"/>
      <c r="W65" s="43"/>
      <c r="X65" s="43"/>
      <c r="Y65" s="43"/>
      <c r="Z65" s="43"/>
    </row>
    <row r="66" spans="1:26" ht="16.5" thickTop="1" thickBot="1" x14ac:dyDescent="0.3">
      <c r="A66" s="18"/>
      <c r="B66" s="9"/>
      <c r="C66" s="42"/>
      <c r="D66" s="44"/>
      <c r="E66" s="39"/>
      <c r="F66" s="39"/>
      <c r="G66" s="40"/>
      <c r="H66" s="43"/>
      <c r="T66" s="9"/>
      <c r="U66" s="51"/>
      <c r="V66" s="43"/>
      <c r="W66" s="43"/>
      <c r="X66" s="43"/>
      <c r="Y66" s="43"/>
      <c r="Z66" s="43"/>
    </row>
    <row r="67" spans="1:26" ht="16.5" thickTop="1" thickBot="1" x14ac:dyDescent="0.3">
      <c r="A67" s="18"/>
      <c r="B67" s="9"/>
      <c r="C67" s="42"/>
      <c r="D67" s="44"/>
      <c r="E67" s="39"/>
      <c r="F67" s="39"/>
      <c r="G67" s="40"/>
      <c r="H67" s="43"/>
      <c r="T67" s="9"/>
      <c r="U67" s="51"/>
      <c r="V67" s="43"/>
      <c r="W67" s="43"/>
      <c r="X67" s="43"/>
      <c r="Y67" s="43"/>
      <c r="Z67" s="43"/>
    </row>
    <row r="68" spans="1:26" ht="16.5" thickTop="1" thickBot="1" x14ac:dyDescent="0.3">
      <c r="A68" s="18"/>
      <c r="B68" s="9"/>
      <c r="C68" s="42"/>
      <c r="D68" s="44"/>
      <c r="E68" s="39"/>
      <c r="F68" s="39"/>
      <c r="G68" s="40"/>
      <c r="H68" s="43"/>
      <c r="T68" s="9"/>
      <c r="U68" s="51"/>
      <c r="V68" s="43"/>
      <c r="W68" s="43"/>
      <c r="X68" s="43"/>
      <c r="Y68" s="43"/>
      <c r="Z68" s="43"/>
    </row>
    <row r="69" spans="1:26" ht="16.5" thickTop="1" thickBot="1" x14ac:dyDescent="0.3">
      <c r="A69" s="18"/>
      <c r="B69" s="9"/>
      <c r="C69" s="42"/>
      <c r="D69" s="44"/>
      <c r="E69" s="39"/>
      <c r="F69" s="39"/>
      <c r="G69" s="40"/>
      <c r="H69" s="43"/>
      <c r="T69" s="9"/>
      <c r="U69" s="51"/>
      <c r="V69" s="43"/>
      <c r="W69" s="43"/>
      <c r="X69" s="43"/>
      <c r="Y69" s="43"/>
      <c r="Z69" s="43"/>
    </row>
    <row r="70" spans="1:26" ht="16.5" thickTop="1" thickBot="1" x14ac:dyDescent="0.3">
      <c r="A70" s="18"/>
      <c r="B70" s="9"/>
      <c r="C70" s="42"/>
      <c r="D70" s="44"/>
      <c r="E70" s="39"/>
      <c r="F70" s="39"/>
      <c r="G70" s="40"/>
      <c r="H70" s="43"/>
      <c r="T70" s="9"/>
      <c r="U70" s="51"/>
      <c r="V70" s="43"/>
      <c r="W70" s="43"/>
      <c r="X70" s="43"/>
      <c r="Y70" s="43"/>
      <c r="Z70" s="43"/>
    </row>
    <row r="71" spans="1:26" ht="16.5" thickTop="1" thickBot="1" x14ac:dyDescent="0.3">
      <c r="A71" s="18"/>
      <c r="B71" s="9"/>
      <c r="C71" s="42"/>
      <c r="D71" s="44"/>
      <c r="E71" s="39"/>
      <c r="F71" s="39"/>
      <c r="G71" s="40"/>
      <c r="H71" s="43"/>
      <c r="T71" s="9"/>
      <c r="U71" s="51"/>
      <c r="V71" s="43"/>
      <c r="W71" s="43"/>
      <c r="X71" s="43"/>
      <c r="Y71" s="43"/>
      <c r="Z71" s="43"/>
    </row>
    <row r="72" spans="1:26" ht="16.5" thickTop="1" thickBot="1" x14ac:dyDescent="0.3">
      <c r="A72" s="18"/>
      <c r="B72" s="9"/>
      <c r="C72" s="42"/>
      <c r="D72" s="44"/>
      <c r="E72" s="39"/>
      <c r="F72" s="39"/>
      <c r="G72" s="40"/>
      <c r="H72" s="43"/>
      <c r="T72" s="9"/>
      <c r="U72" s="51"/>
      <c r="V72" s="43"/>
      <c r="W72" s="43"/>
      <c r="X72" s="43"/>
      <c r="Y72" s="43"/>
      <c r="Z72" s="43"/>
    </row>
    <row r="73" spans="1:26" ht="16.5" thickTop="1" thickBot="1" x14ac:dyDescent="0.3">
      <c r="A73" s="18"/>
      <c r="B73" s="9"/>
      <c r="C73" s="42"/>
      <c r="D73" s="44"/>
      <c r="E73" s="39"/>
      <c r="F73" s="39"/>
      <c r="G73" s="40"/>
      <c r="H73" s="43"/>
      <c r="T73" s="9"/>
      <c r="U73" s="51"/>
      <c r="V73" s="43"/>
      <c r="W73" s="43"/>
      <c r="X73" s="43"/>
      <c r="Y73" s="43"/>
      <c r="Z73" s="43"/>
    </row>
    <row r="74" spans="1:26" ht="16.5" thickTop="1" thickBot="1" x14ac:dyDescent="0.3">
      <c r="A74" s="18"/>
      <c r="B74" s="9"/>
      <c r="C74" s="42"/>
      <c r="D74" s="44"/>
      <c r="E74" s="39"/>
      <c r="F74" s="39"/>
      <c r="G74" s="40"/>
      <c r="H74" s="43"/>
      <c r="T74" s="9"/>
      <c r="U74" s="51"/>
      <c r="V74" s="43"/>
      <c r="W74" s="43"/>
      <c r="X74" s="43"/>
      <c r="Y74" s="43"/>
      <c r="Z74" s="43"/>
    </row>
    <row r="75" spans="1:26" ht="16.5" thickTop="1" thickBot="1" x14ac:dyDescent="0.3">
      <c r="A75" s="18"/>
      <c r="B75" s="9"/>
      <c r="C75" s="42"/>
      <c r="D75" s="44"/>
      <c r="E75" s="39"/>
      <c r="F75" s="39"/>
      <c r="G75" s="40"/>
      <c r="H75" s="43"/>
      <c r="T75" s="9"/>
      <c r="U75" s="51"/>
      <c r="V75" s="43"/>
      <c r="W75" s="43"/>
      <c r="X75" s="43"/>
      <c r="Y75" s="43"/>
      <c r="Z75" s="43"/>
    </row>
    <row r="76" spans="1:26" ht="16.5" thickTop="1" thickBot="1" x14ac:dyDescent="0.3">
      <c r="A76" s="18"/>
      <c r="B76" s="9"/>
      <c r="C76" s="42"/>
      <c r="D76" s="44"/>
      <c r="E76" s="39"/>
      <c r="F76" s="39"/>
      <c r="G76" s="40"/>
      <c r="H76" s="43"/>
      <c r="T76" s="9"/>
      <c r="U76" s="51"/>
      <c r="V76" s="43"/>
      <c r="W76" s="43"/>
      <c r="X76" s="43"/>
      <c r="Y76" s="43"/>
      <c r="Z76" s="43"/>
    </row>
    <row r="77" spans="1:26" ht="16.5" thickTop="1" thickBot="1" x14ac:dyDescent="0.3">
      <c r="A77" s="18"/>
      <c r="B77" s="9"/>
      <c r="C77" s="42"/>
      <c r="D77" s="44"/>
      <c r="E77" s="39"/>
      <c r="F77" s="39"/>
      <c r="G77" s="40"/>
      <c r="H77" s="43"/>
      <c r="T77" s="9"/>
      <c r="U77" s="51"/>
      <c r="V77" s="43"/>
      <c r="W77" s="43"/>
      <c r="X77" s="43"/>
      <c r="Y77" s="43"/>
      <c r="Z77" s="43"/>
    </row>
    <row r="78" spans="1:26" ht="16.5" thickTop="1" thickBot="1" x14ac:dyDescent="0.3">
      <c r="A78" s="18"/>
      <c r="B78" s="9"/>
      <c r="C78" s="42"/>
      <c r="D78" s="44"/>
      <c r="E78" s="39"/>
      <c r="F78" s="39"/>
      <c r="G78" s="40"/>
      <c r="H78" s="43"/>
      <c r="T78" s="9"/>
      <c r="U78" s="51"/>
      <c r="V78" s="43"/>
      <c r="W78" s="43"/>
      <c r="X78" s="43"/>
      <c r="Y78" s="43"/>
      <c r="Z78" s="43"/>
    </row>
    <row r="79" spans="1:26" ht="16.5" thickTop="1" thickBot="1" x14ac:dyDescent="0.3">
      <c r="A79" s="18"/>
      <c r="B79" s="9"/>
      <c r="C79" s="42"/>
      <c r="D79" s="44"/>
      <c r="E79" s="39"/>
      <c r="F79" s="39"/>
      <c r="G79" s="40"/>
      <c r="H79" s="43"/>
      <c r="T79" s="9"/>
      <c r="U79" s="51"/>
      <c r="V79" s="43"/>
      <c r="W79" s="43"/>
      <c r="X79" s="43"/>
      <c r="Y79" s="43"/>
      <c r="Z79" s="43"/>
    </row>
    <row r="80" spans="1:26" ht="16.5" thickTop="1" thickBot="1" x14ac:dyDescent="0.3">
      <c r="A80" s="18"/>
      <c r="B80" s="9"/>
      <c r="C80" s="42"/>
      <c r="D80" s="44"/>
      <c r="E80" s="39"/>
      <c r="F80" s="39"/>
      <c r="G80" s="40"/>
      <c r="H80" s="43"/>
      <c r="T80" s="9"/>
      <c r="U80" s="51"/>
      <c r="V80" s="43"/>
      <c r="W80" s="43"/>
      <c r="X80" s="43"/>
      <c r="Y80" s="43"/>
      <c r="Z80" s="43"/>
    </row>
    <row r="81" spans="1:26" ht="16.5" thickTop="1" thickBot="1" x14ac:dyDescent="0.3">
      <c r="A81" s="18"/>
      <c r="B81" s="9"/>
      <c r="C81" s="42"/>
      <c r="D81" s="44"/>
      <c r="E81" s="39"/>
      <c r="F81" s="39"/>
      <c r="G81" s="40"/>
      <c r="H81" s="43"/>
      <c r="T81" s="9"/>
      <c r="U81" s="51"/>
      <c r="V81" s="43"/>
      <c r="W81" s="43"/>
      <c r="X81" s="43"/>
      <c r="Y81" s="43"/>
      <c r="Z81" s="43"/>
    </row>
    <row r="82" spans="1:26" ht="16.5" thickTop="1" thickBot="1" x14ac:dyDescent="0.3">
      <c r="A82" s="18"/>
      <c r="B82" s="9"/>
      <c r="C82" s="42"/>
      <c r="D82" s="44"/>
      <c r="E82" s="39"/>
      <c r="F82" s="39"/>
      <c r="G82" s="40"/>
      <c r="H82" s="43"/>
      <c r="T82" s="9"/>
      <c r="U82" s="51"/>
      <c r="V82" s="43"/>
      <c r="W82" s="43"/>
      <c r="X82" s="43"/>
      <c r="Y82" s="43"/>
      <c r="Z82" s="43"/>
    </row>
    <row r="83" spans="1:26" ht="16.5" thickTop="1" thickBot="1" x14ac:dyDescent="0.3">
      <c r="A83" s="18"/>
      <c r="B83" s="9"/>
      <c r="C83" s="42"/>
      <c r="D83" s="44"/>
      <c r="E83" s="39"/>
      <c r="F83" s="39"/>
      <c r="G83" s="40"/>
      <c r="H83" s="43"/>
      <c r="T83" s="9"/>
      <c r="U83" s="51"/>
      <c r="V83" s="43"/>
      <c r="W83" s="43"/>
      <c r="X83" s="43"/>
      <c r="Y83" s="43"/>
      <c r="Z83" s="43"/>
    </row>
    <row r="84" spans="1:26" ht="16.5" thickTop="1" thickBot="1" x14ac:dyDescent="0.3">
      <c r="A84" s="18"/>
      <c r="B84" s="9"/>
      <c r="C84" s="42"/>
      <c r="D84" s="44"/>
      <c r="E84" s="39"/>
      <c r="F84" s="39"/>
      <c r="G84" s="40"/>
      <c r="H84" s="43"/>
      <c r="T84" s="9"/>
      <c r="U84" s="51"/>
      <c r="V84" s="43"/>
      <c r="W84" s="43"/>
      <c r="X84" s="43"/>
      <c r="Y84" s="43"/>
      <c r="Z84" s="43"/>
    </row>
    <row r="85" spans="1:26" ht="16.5" thickTop="1" thickBot="1" x14ac:dyDescent="0.3">
      <c r="A85" s="18"/>
      <c r="B85" s="9"/>
      <c r="C85" s="42"/>
      <c r="D85" s="44"/>
      <c r="E85" s="39"/>
      <c r="F85" s="39"/>
      <c r="G85" s="40"/>
      <c r="H85" s="43"/>
      <c r="T85" s="9"/>
      <c r="U85" s="51"/>
      <c r="V85" s="43"/>
      <c r="W85" s="43"/>
      <c r="X85" s="43"/>
      <c r="Y85" s="43"/>
      <c r="Z85" s="43"/>
    </row>
    <row r="86" spans="1:26" ht="16.5" thickTop="1" thickBot="1" x14ac:dyDescent="0.3">
      <c r="A86" s="18"/>
      <c r="B86" s="9"/>
      <c r="C86" s="42"/>
      <c r="D86" s="44"/>
      <c r="E86" s="39"/>
      <c r="F86" s="39"/>
      <c r="G86" s="40"/>
      <c r="H86" s="43"/>
      <c r="T86" s="9"/>
      <c r="U86" s="51"/>
      <c r="V86" s="43"/>
      <c r="W86" s="43"/>
      <c r="X86" s="43"/>
      <c r="Y86" s="43"/>
      <c r="Z86" s="43"/>
    </row>
    <row r="87" spans="1:26" ht="16.5" thickTop="1" thickBot="1" x14ac:dyDescent="0.3">
      <c r="A87" s="18"/>
      <c r="B87" s="9"/>
      <c r="C87" s="42"/>
      <c r="D87" s="44"/>
      <c r="E87" s="39"/>
      <c r="F87" s="39"/>
      <c r="G87" s="40"/>
      <c r="H87" s="43"/>
      <c r="T87" s="9"/>
      <c r="U87" s="51"/>
      <c r="V87" s="43"/>
      <c r="W87" s="43"/>
      <c r="X87" s="43"/>
      <c r="Y87" s="43"/>
      <c r="Z87" s="43"/>
    </row>
    <row r="88" spans="1:26" ht="16.5" thickTop="1" thickBot="1" x14ac:dyDescent="0.3">
      <c r="A88" s="18"/>
      <c r="B88" s="9"/>
      <c r="C88" s="42"/>
      <c r="D88" s="44"/>
      <c r="E88" s="39"/>
      <c r="F88" s="39"/>
      <c r="G88" s="40"/>
      <c r="H88" s="43"/>
      <c r="T88" s="9"/>
      <c r="U88" s="51"/>
      <c r="V88" s="43"/>
      <c r="W88" s="43"/>
      <c r="X88" s="43"/>
      <c r="Y88" s="43"/>
      <c r="Z88" s="43"/>
    </row>
    <row r="89" spans="1:26" ht="16.5" thickTop="1" thickBot="1" x14ac:dyDescent="0.3">
      <c r="A89" s="18"/>
      <c r="B89" s="9"/>
      <c r="C89" s="42"/>
      <c r="D89" s="44"/>
      <c r="E89" s="39"/>
      <c r="F89" s="39"/>
      <c r="G89" s="40"/>
      <c r="H89" s="43"/>
      <c r="T89" s="9"/>
      <c r="U89" s="51"/>
      <c r="V89" s="43"/>
      <c r="W89" s="43"/>
      <c r="X89" s="43"/>
      <c r="Y89" s="43"/>
      <c r="Z89" s="43"/>
    </row>
    <row r="90" spans="1:26" ht="16.5" thickTop="1" thickBot="1" x14ac:dyDescent="0.3">
      <c r="A90" s="18"/>
      <c r="B90" s="9"/>
      <c r="C90" s="42"/>
      <c r="D90" s="44"/>
      <c r="E90" s="39"/>
      <c r="F90" s="39"/>
      <c r="G90" s="40"/>
      <c r="H90" s="43"/>
      <c r="T90" s="9"/>
      <c r="U90" s="51"/>
      <c r="V90" s="43"/>
      <c r="W90" s="43"/>
      <c r="X90" s="43"/>
      <c r="Y90" s="43"/>
      <c r="Z90" s="43"/>
    </row>
    <row r="91" spans="1:26" ht="16.5" thickTop="1" thickBot="1" x14ac:dyDescent="0.3">
      <c r="A91" s="18"/>
      <c r="B91" s="9"/>
      <c r="C91" s="42"/>
      <c r="D91" s="44"/>
      <c r="E91" s="39"/>
      <c r="F91" s="39"/>
      <c r="G91" s="40"/>
      <c r="H91" s="43"/>
      <c r="T91" s="9"/>
      <c r="U91" s="51"/>
      <c r="V91" s="43"/>
      <c r="W91" s="43"/>
      <c r="X91" s="43"/>
      <c r="Y91" s="43"/>
      <c r="Z91" s="43"/>
    </row>
    <row r="92" spans="1:26" ht="16.5" thickTop="1" thickBot="1" x14ac:dyDescent="0.3">
      <c r="A92" s="18"/>
      <c r="B92" s="9"/>
      <c r="C92" s="42"/>
      <c r="D92" s="44"/>
      <c r="E92" s="39"/>
      <c r="F92" s="39"/>
      <c r="G92" s="40"/>
      <c r="H92" s="43"/>
      <c r="T92" s="9"/>
      <c r="U92" s="51"/>
      <c r="V92" s="43"/>
      <c r="W92" s="43"/>
      <c r="X92" s="43"/>
      <c r="Y92" s="43"/>
      <c r="Z92" s="43"/>
    </row>
    <row r="93" spans="1:26" ht="16.5" thickTop="1" thickBot="1" x14ac:dyDescent="0.3">
      <c r="A93" s="18"/>
      <c r="B93" s="9"/>
      <c r="C93" s="42"/>
      <c r="D93" s="44"/>
      <c r="E93" s="39"/>
      <c r="F93" s="39"/>
      <c r="G93" s="40"/>
      <c r="H93" s="43"/>
      <c r="T93" s="9"/>
      <c r="U93" s="51"/>
      <c r="V93" s="43"/>
      <c r="W93" s="43"/>
      <c r="X93" s="43"/>
      <c r="Y93" s="43"/>
      <c r="Z93" s="43"/>
    </row>
    <row r="94" spans="1:26" ht="16.5" thickTop="1" thickBot="1" x14ac:dyDescent="0.3">
      <c r="A94" s="18"/>
      <c r="B94" s="9"/>
      <c r="C94" s="42"/>
      <c r="D94" s="44"/>
      <c r="E94" s="39"/>
      <c r="F94" s="39"/>
      <c r="G94" s="40"/>
      <c r="H94" s="43"/>
      <c r="T94" s="9"/>
      <c r="U94" s="51"/>
      <c r="V94" s="43"/>
      <c r="W94" s="43"/>
      <c r="X94" s="43"/>
      <c r="Y94" s="43"/>
      <c r="Z94" s="43"/>
    </row>
    <row r="95" spans="1:26" ht="16.5" thickTop="1" thickBot="1" x14ac:dyDescent="0.3">
      <c r="A95" s="18"/>
      <c r="B95" s="9"/>
      <c r="C95" s="42"/>
      <c r="D95" s="44"/>
      <c r="E95" s="39"/>
      <c r="F95" s="39"/>
      <c r="G95" s="40"/>
      <c r="H95" s="43"/>
      <c r="T95" s="9"/>
      <c r="U95" s="51"/>
      <c r="V95" s="43"/>
      <c r="W95" s="43"/>
      <c r="X95" s="43"/>
      <c r="Y95" s="43"/>
      <c r="Z95" s="43"/>
    </row>
    <row r="96" spans="1:26" ht="16.5" thickTop="1" thickBot="1" x14ac:dyDescent="0.3">
      <c r="A96" s="18"/>
      <c r="B96" s="9"/>
      <c r="C96" s="42"/>
      <c r="D96" s="44"/>
      <c r="E96" s="39"/>
      <c r="F96" s="39"/>
      <c r="G96" s="40"/>
      <c r="H96" s="43"/>
      <c r="T96" s="9"/>
      <c r="U96" s="51"/>
      <c r="V96" s="43"/>
      <c r="W96" s="43"/>
      <c r="X96" s="43"/>
      <c r="Y96" s="43"/>
      <c r="Z96" s="43"/>
    </row>
    <row r="97" spans="1:26" ht="16.5" thickTop="1" thickBot="1" x14ac:dyDescent="0.3">
      <c r="A97" s="18"/>
      <c r="B97" s="9"/>
      <c r="C97" s="42"/>
      <c r="D97" s="44"/>
      <c r="E97" s="39"/>
      <c r="F97" s="39"/>
      <c r="G97" s="40"/>
      <c r="H97" s="43"/>
      <c r="T97" s="9"/>
      <c r="U97" s="51"/>
      <c r="V97" s="43"/>
      <c r="W97" s="43"/>
      <c r="X97" s="43"/>
      <c r="Y97" s="43"/>
      <c r="Z97" s="43"/>
    </row>
    <row r="98" spans="1:26" ht="16.5" thickTop="1" thickBot="1" x14ac:dyDescent="0.3">
      <c r="A98" s="18"/>
      <c r="B98" s="9"/>
      <c r="C98" s="42"/>
      <c r="D98" s="44"/>
      <c r="E98" s="39"/>
      <c r="F98" s="39"/>
      <c r="G98" s="40"/>
      <c r="H98" s="43"/>
      <c r="T98" s="9"/>
      <c r="U98" s="51"/>
      <c r="V98" s="43"/>
      <c r="W98" s="43"/>
      <c r="X98" s="43"/>
      <c r="Y98" s="43"/>
      <c r="Z98" s="43"/>
    </row>
    <row r="99" spans="1:26" ht="16.5" thickTop="1" thickBot="1" x14ac:dyDescent="0.3">
      <c r="A99" s="18"/>
      <c r="B99" s="9"/>
      <c r="C99" s="42"/>
      <c r="D99" s="44"/>
      <c r="E99" s="39"/>
      <c r="F99" s="39"/>
      <c r="G99" s="40"/>
      <c r="H99" s="43"/>
      <c r="T99" s="9"/>
      <c r="U99" s="51"/>
      <c r="V99" s="43"/>
      <c r="W99" s="43"/>
      <c r="X99" s="43"/>
      <c r="Y99" s="43"/>
      <c r="Z99" s="43"/>
    </row>
    <row r="100" spans="1:26" ht="16.5" thickTop="1" thickBot="1" x14ac:dyDescent="0.3">
      <c r="A100" s="18"/>
      <c r="B100" s="9"/>
      <c r="C100" s="42"/>
      <c r="D100" s="44"/>
      <c r="E100" s="39"/>
      <c r="F100" s="39"/>
      <c r="G100" s="40"/>
      <c r="H100" s="43"/>
      <c r="T100" s="9"/>
      <c r="U100" s="51"/>
      <c r="V100" s="43"/>
      <c r="W100" s="43"/>
      <c r="X100" s="43"/>
      <c r="Y100" s="43"/>
      <c r="Z100" s="43"/>
    </row>
    <row r="101" spans="1:26" ht="16.5" thickTop="1" thickBot="1" x14ac:dyDescent="0.3">
      <c r="A101" s="18"/>
      <c r="B101" s="9"/>
      <c r="C101" s="42"/>
      <c r="D101" s="44"/>
      <c r="E101" s="39"/>
      <c r="F101" s="39"/>
      <c r="G101" s="40"/>
      <c r="H101" s="43"/>
      <c r="T101" s="9"/>
      <c r="U101" s="51"/>
      <c r="V101" s="43"/>
      <c r="W101" s="43"/>
      <c r="X101" s="43"/>
      <c r="Y101" s="43"/>
      <c r="Z101" s="43"/>
    </row>
    <row r="102" spans="1:26" ht="16.5" thickTop="1" thickBot="1" x14ac:dyDescent="0.3">
      <c r="A102" s="18"/>
      <c r="B102" s="9"/>
      <c r="C102" s="42"/>
      <c r="D102" s="44"/>
      <c r="E102" s="39"/>
      <c r="F102" s="39"/>
      <c r="G102" s="40"/>
      <c r="H102" s="43"/>
      <c r="T102" s="9"/>
      <c r="U102" s="51"/>
      <c r="V102" s="43"/>
      <c r="W102" s="43"/>
      <c r="X102" s="43"/>
      <c r="Y102" s="43"/>
      <c r="Z102" s="43"/>
    </row>
    <row r="103" spans="1:26" ht="16.5" thickTop="1" thickBot="1" x14ac:dyDescent="0.3">
      <c r="A103" s="18"/>
      <c r="B103" s="9"/>
      <c r="C103" s="42"/>
      <c r="D103" s="44"/>
      <c r="E103" s="39"/>
      <c r="F103" s="39"/>
      <c r="G103" s="40"/>
      <c r="H103" s="43"/>
      <c r="T103" s="9"/>
      <c r="U103" s="51"/>
      <c r="V103" s="43"/>
      <c r="W103" s="43"/>
      <c r="X103" s="43"/>
      <c r="Y103" s="43"/>
      <c r="Z103" s="43"/>
    </row>
    <row r="104" spans="1:26" ht="16.5" thickTop="1" thickBot="1" x14ac:dyDescent="0.3">
      <c r="A104" s="18"/>
      <c r="B104" s="9"/>
      <c r="C104" s="42"/>
      <c r="D104" s="44"/>
      <c r="E104" s="39"/>
      <c r="F104" s="39"/>
      <c r="G104" s="40"/>
      <c r="H104" s="43"/>
      <c r="T104" s="9"/>
      <c r="U104" s="51"/>
      <c r="V104" s="43"/>
      <c r="W104" s="43"/>
      <c r="X104" s="43"/>
      <c r="Y104" s="43"/>
      <c r="Z104" s="43"/>
    </row>
    <row r="105" spans="1:26" ht="16.5" thickTop="1" thickBot="1" x14ac:dyDescent="0.3">
      <c r="A105" s="18"/>
      <c r="B105" s="9"/>
      <c r="C105" s="42"/>
      <c r="D105" s="44"/>
      <c r="E105" s="39"/>
      <c r="F105" s="39"/>
      <c r="G105" s="40"/>
      <c r="H105" s="43"/>
      <c r="T105" s="9"/>
      <c r="U105" s="51"/>
      <c r="V105" s="43"/>
      <c r="W105" s="43"/>
      <c r="X105" s="43"/>
      <c r="Y105" s="43"/>
      <c r="Z105" s="43"/>
    </row>
    <row r="106" spans="1:26" ht="16.5" thickTop="1" thickBot="1" x14ac:dyDescent="0.3">
      <c r="A106" s="18"/>
      <c r="B106" s="9"/>
      <c r="C106" s="42"/>
      <c r="D106" s="44"/>
      <c r="E106" s="39"/>
      <c r="F106" s="39"/>
      <c r="G106" s="40"/>
      <c r="H106" s="43"/>
      <c r="T106" s="9"/>
      <c r="U106" s="51"/>
      <c r="V106" s="43"/>
      <c r="W106" s="43"/>
      <c r="X106" s="43"/>
      <c r="Y106" s="43"/>
      <c r="Z106" s="43"/>
    </row>
    <row r="107" spans="1:26" ht="16.5" thickTop="1" thickBot="1" x14ac:dyDescent="0.3">
      <c r="A107" s="18"/>
      <c r="B107" s="9"/>
      <c r="C107" s="42"/>
      <c r="D107" s="44"/>
      <c r="E107" s="39"/>
      <c r="F107" s="39"/>
      <c r="G107" s="40"/>
      <c r="H107" s="43"/>
      <c r="T107" s="9"/>
      <c r="U107" s="51"/>
      <c r="V107" s="43"/>
      <c r="W107" s="43"/>
      <c r="X107" s="43"/>
      <c r="Y107" s="43"/>
      <c r="Z107" s="43"/>
    </row>
    <row r="108" spans="1:26" ht="16.5" thickTop="1" thickBot="1" x14ac:dyDescent="0.3">
      <c r="A108" s="18"/>
      <c r="B108" s="9"/>
      <c r="C108" s="42"/>
      <c r="D108" s="44"/>
      <c r="E108" s="39"/>
      <c r="F108" s="39"/>
      <c r="G108" s="40"/>
      <c r="H108" s="43"/>
      <c r="T108" s="9"/>
      <c r="U108" s="51"/>
      <c r="V108" s="43"/>
      <c r="W108" s="43"/>
      <c r="X108" s="43"/>
      <c r="Y108" s="43"/>
      <c r="Z108" s="43"/>
    </row>
    <row r="109" spans="1:26" ht="16.5" thickTop="1" thickBot="1" x14ac:dyDescent="0.3">
      <c r="A109" s="18"/>
      <c r="B109" s="9"/>
      <c r="C109" s="42"/>
      <c r="D109" s="44"/>
      <c r="E109" s="39"/>
      <c r="F109" s="39"/>
      <c r="G109" s="40"/>
      <c r="H109" s="43"/>
      <c r="T109" s="9"/>
      <c r="U109" s="51"/>
      <c r="V109" s="43"/>
      <c r="W109" s="43"/>
      <c r="X109" s="43"/>
      <c r="Y109" s="43"/>
      <c r="Z109" s="43"/>
    </row>
    <row r="110" spans="1:26" ht="16.5" thickTop="1" thickBot="1" x14ac:dyDescent="0.3">
      <c r="A110" s="18"/>
      <c r="B110" s="9"/>
      <c r="C110" s="42"/>
      <c r="D110" s="44"/>
      <c r="E110" s="39"/>
      <c r="F110" s="39"/>
      <c r="G110" s="40"/>
      <c r="H110" s="43"/>
      <c r="T110" s="9"/>
      <c r="U110" s="51"/>
      <c r="V110" s="43"/>
      <c r="W110" s="43"/>
      <c r="X110" s="43"/>
      <c r="Y110" s="43"/>
      <c r="Z110" s="43"/>
    </row>
    <row r="111" spans="1:26" ht="16.5" thickTop="1" thickBot="1" x14ac:dyDescent="0.3">
      <c r="A111" s="18"/>
      <c r="B111" s="9"/>
      <c r="C111" s="42"/>
      <c r="D111" s="44"/>
      <c r="E111" s="39"/>
      <c r="F111" s="39"/>
      <c r="G111" s="40"/>
      <c r="H111" s="43"/>
      <c r="T111" s="9"/>
      <c r="U111" s="51"/>
      <c r="V111" s="43"/>
      <c r="W111" s="43"/>
      <c r="X111" s="43"/>
      <c r="Y111" s="43"/>
      <c r="Z111" s="43"/>
    </row>
    <row r="112" spans="1:26" ht="16.5" thickTop="1" thickBot="1" x14ac:dyDescent="0.3">
      <c r="A112" s="18"/>
      <c r="B112" s="9"/>
      <c r="C112" s="42"/>
      <c r="D112" s="44"/>
      <c r="E112" s="39"/>
      <c r="F112" s="39"/>
      <c r="G112" s="40"/>
      <c r="H112" s="43"/>
      <c r="T112" s="9"/>
      <c r="U112" s="51"/>
      <c r="V112" s="43"/>
      <c r="W112" s="43"/>
      <c r="X112" s="43"/>
      <c r="Y112" s="43"/>
      <c r="Z112" s="43"/>
    </row>
    <row r="113" spans="1:26" ht="16.5" thickTop="1" thickBot="1" x14ac:dyDescent="0.3">
      <c r="A113" s="18"/>
      <c r="B113" s="9"/>
      <c r="C113" s="42"/>
      <c r="D113" s="44"/>
      <c r="E113" s="39"/>
      <c r="F113" s="39"/>
      <c r="G113" s="40"/>
      <c r="H113" s="43"/>
      <c r="T113" s="9"/>
      <c r="U113" s="51"/>
      <c r="V113" s="43"/>
      <c r="W113" s="43"/>
      <c r="X113" s="43"/>
      <c r="Y113" s="43"/>
      <c r="Z113" s="43"/>
    </row>
    <row r="114" spans="1:26" ht="16.5" thickTop="1" thickBot="1" x14ac:dyDescent="0.3">
      <c r="A114" s="18"/>
      <c r="B114" s="9"/>
      <c r="C114" s="42"/>
      <c r="D114" s="44"/>
      <c r="E114" s="39"/>
      <c r="F114" s="39"/>
      <c r="G114" s="40"/>
      <c r="H114" s="43"/>
      <c r="T114" s="9"/>
      <c r="U114" s="51"/>
      <c r="V114" s="43"/>
      <c r="W114" s="43"/>
      <c r="X114" s="43"/>
      <c r="Y114" s="43"/>
      <c r="Z114" s="43"/>
    </row>
    <row r="115" spans="1:26" ht="16.5" thickTop="1" thickBot="1" x14ac:dyDescent="0.3">
      <c r="A115" s="18"/>
      <c r="B115" s="9"/>
      <c r="C115" s="42"/>
      <c r="D115" s="44"/>
      <c r="E115" s="39"/>
      <c r="F115" s="39"/>
      <c r="G115" s="40"/>
      <c r="H115" s="43"/>
      <c r="T115" s="9"/>
      <c r="U115" s="51"/>
      <c r="V115" s="43"/>
      <c r="W115" s="43"/>
      <c r="X115" s="43"/>
      <c r="Y115" s="43"/>
      <c r="Z115" s="43"/>
    </row>
    <row r="116" spans="1:26" ht="16.5" thickTop="1" thickBot="1" x14ac:dyDescent="0.3">
      <c r="A116" s="18"/>
      <c r="B116" s="9"/>
      <c r="C116" s="42"/>
      <c r="D116" s="44"/>
      <c r="E116" s="39"/>
      <c r="F116" s="39"/>
      <c r="G116" s="40"/>
      <c r="H116" s="43"/>
      <c r="T116" s="9"/>
      <c r="U116" s="51"/>
      <c r="V116" s="43"/>
      <c r="W116" s="43"/>
      <c r="X116" s="43"/>
      <c r="Y116" s="43"/>
      <c r="Z116" s="43"/>
    </row>
    <row r="117" spans="1:26" ht="16.5" thickTop="1" thickBot="1" x14ac:dyDescent="0.3">
      <c r="A117" s="19"/>
      <c r="B117" s="9"/>
      <c r="C117" s="45"/>
      <c r="D117" s="46"/>
      <c r="E117" s="47"/>
      <c r="F117" s="47"/>
      <c r="G117" s="48"/>
      <c r="H117" s="49"/>
      <c r="T117" s="9"/>
      <c r="U117" s="51"/>
      <c r="V117" s="43"/>
      <c r="W117" s="43"/>
      <c r="X117" s="43"/>
      <c r="Y117" s="43"/>
      <c r="Z117" s="43"/>
    </row>
    <row r="118" spans="1:26" ht="16.5" thickTop="1" thickBot="1" x14ac:dyDescent="0.3">
      <c r="A118" s="20"/>
      <c r="C118" s="23"/>
      <c r="D118" s="3"/>
      <c r="E118" s="3"/>
      <c r="F118" s="3"/>
      <c r="G118" s="3"/>
      <c r="H118" s="24"/>
      <c r="I118" s="22"/>
      <c r="T118" s="9"/>
      <c r="U118" s="51"/>
      <c r="V118" s="43"/>
      <c r="W118" s="43"/>
      <c r="X118" s="43"/>
      <c r="Y118" s="43"/>
      <c r="Z118" s="43"/>
    </row>
    <row r="119" spans="1:26" ht="16.5" thickTop="1" thickBot="1" x14ac:dyDescent="0.3">
      <c r="B119" s="21"/>
      <c r="I119" s="22"/>
      <c r="T119" s="9"/>
      <c r="U119" s="51"/>
      <c r="V119" s="43"/>
      <c r="W119" s="43"/>
      <c r="X119" s="43"/>
      <c r="Y119" s="43"/>
      <c r="Z119" s="43"/>
    </row>
    <row r="120" spans="1:26" ht="16.5" thickTop="1" thickBot="1" x14ac:dyDescent="0.3">
      <c r="I120" s="22"/>
      <c r="T120" s="9"/>
      <c r="U120" s="51"/>
      <c r="V120" s="43"/>
      <c r="W120" s="43"/>
      <c r="X120" s="43"/>
      <c r="Y120" s="43"/>
      <c r="Z120" s="43"/>
    </row>
    <row r="121" spans="1:26" ht="16.5" thickTop="1" thickBot="1" x14ac:dyDescent="0.3">
      <c r="H121" s="15"/>
      <c r="T121" s="9"/>
      <c r="U121" s="51"/>
      <c r="V121" s="43"/>
      <c r="W121" s="43"/>
      <c r="X121" s="43"/>
      <c r="Y121" s="43"/>
      <c r="Z121" s="43"/>
    </row>
    <row r="122" spans="1:26" ht="16.5" thickTop="1" thickBot="1" x14ac:dyDescent="0.3">
      <c r="I122" s="22"/>
      <c r="T122" s="9"/>
      <c r="U122" s="51"/>
      <c r="V122" s="43"/>
      <c r="W122" s="43"/>
      <c r="X122" s="43"/>
      <c r="Y122" s="43"/>
      <c r="Z122" s="43"/>
    </row>
    <row r="123" spans="1:26" ht="16.5" thickTop="1" thickBot="1" x14ac:dyDescent="0.3">
      <c r="I123" s="22"/>
      <c r="T123" s="9"/>
      <c r="U123" s="51"/>
      <c r="V123" s="43"/>
      <c r="W123" s="43"/>
      <c r="X123" s="43"/>
      <c r="Y123" s="43"/>
      <c r="Z123" s="43"/>
    </row>
    <row r="124" spans="1:26" ht="16.5" thickTop="1" thickBot="1" x14ac:dyDescent="0.3">
      <c r="H124" s="15"/>
      <c r="T124" s="9"/>
      <c r="U124" s="51"/>
      <c r="V124" s="43"/>
      <c r="W124" s="43"/>
      <c r="X124" s="43"/>
      <c r="Y124" s="43"/>
      <c r="Z124" s="43"/>
    </row>
    <row r="125" spans="1:26" ht="16.5" thickTop="1" thickBot="1" x14ac:dyDescent="0.3">
      <c r="H125" s="15"/>
      <c r="T125" s="9"/>
      <c r="U125" s="51"/>
      <c r="V125" s="43"/>
      <c r="W125" s="43"/>
      <c r="X125" s="43"/>
      <c r="Y125" s="43"/>
      <c r="Z125" s="43"/>
    </row>
    <row r="126" spans="1:26" ht="16.5" thickTop="1" thickBot="1" x14ac:dyDescent="0.3">
      <c r="I126" s="22"/>
      <c r="T126" s="9"/>
      <c r="U126" s="51"/>
      <c r="V126" s="43"/>
      <c r="W126" s="43"/>
      <c r="X126" s="43"/>
      <c r="Y126" s="43"/>
      <c r="Z126" s="43"/>
    </row>
    <row r="127" spans="1:26" ht="16.5" thickTop="1" thickBot="1" x14ac:dyDescent="0.3">
      <c r="H127" s="15"/>
      <c r="T127" s="9"/>
      <c r="U127" s="51"/>
      <c r="V127" s="43"/>
      <c r="W127" s="43"/>
      <c r="X127" s="43"/>
      <c r="Y127" s="43"/>
      <c r="Z127" s="43"/>
    </row>
    <row r="128" spans="1:26" ht="16.5" thickTop="1" thickBot="1" x14ac:dyDescent="0.3">
      <c r="T128" s="9"/>
      <c r="U128" s="51"/>
      <c r="V128" s="43"/>
      <c r="W128" s="43"/>
      <c r="X128" s="43"/>
      <c r="Y128" s="43"/>
      <c r="Z128" s="43"/>
    </row>
    <row r="129" spans="20:26" ht="16.5" thickTop="1" thickBot="1" x14ac:dyDescent="0.3">
      <c r="T129" s="9"/>
      <c r="U129" s="51"/>
      <c r="V129" s="43"/>
      <c r="W129" s="43"/>
      <c r="X129" s="43"/>
      <c r="Y129" s="43"/>
      <c r="Z129" s="43"/>
    </row>
    <row r="130" spans="20:26" ht="16.5" thickTop="1" thickBot="1" x14ac:dyDescent="0.3">
      <c r="T130" s="9"/>
      <c r="U130" s="51"/>
      <c r="V130" s="43"/>
      <c r="W130" s="43"/>
      <c r="X130" s="43"/>
      <c r="Y130" s="43"/>
      <c r="Z130" s="43"/>
    </row>
    <row r="131" spans="20:26" ht="16.5" thickTop="1" thickBot="1" x14ac:dyDescent="0.3">
      <c r="T131" s="9"/>
      <c r="U131" s="51"/>
      <c r="V131" s="43"/>
      <c r="W131" s="43"/>
      <c r="X131" s="43"/>
      <c r="Y131" s="43"/>
      <c r="Z131" s="43"/>
    </row>
    <row r="132" spans="20:26" ht="16.5" thickTop="1" thickBot="1" x14ac:dyDescent="0.3">
      <c r="T132" s="9"/>
      <c r="U132" s="51"/>
      <c r="V132" s="43"/>
      <c r="W132" s="43"/>
      <c r="X132" s="43"/>
      <c r="Y132" s="43"/>
      <c r="Z132" s="43"/>
    </row>
    <row r="133" spans="20:26" ht="16.5" thickTop="1" thickBot="1" x14ac:dyDescent="0.3">
      <c r="T133" s="9"/>
      <c r="U133" s="51"/>
      <c r="V133" s="43"/>
      <c r="W133" s="43"/>
      <c r="X133" s="43"/>
      <c r="Y133" s="43"/>
      <c r="Z133" s="43"/>
    </row>
    <row r="134" spans="20:26" ht="16.5" thickTop="1" thickBot="1" x14ac:dyDescent="0.3">
      <c r="T134" s="9"/>
      <c r="U134" s="51"/>
      <c r="V134" s="43"/>
      <c r="W134" s="43"/>
      <c r="X134" s="43"/>
      <c r="Y134" s="43"/>
      <c r="Z134" s="43"/>
    </row>
    <row r="135" spans="20:26" ht="16.5" thickTop="1" thickBot="1" x14ac:dyDescent="0.3">
      <c r="T135" s="9"/>
      <c r="U135" s="51"/>
      <c r="V135" s="43"/>
      <c r="W135" s="43"/>
      <c r="X135" s="43"/>
      <c r="Y135" s="43"/>
      <c r="Z135" s="43"/>
    </row>
    <row r="136" spans="20:26" ht="16.5" thickTop="1" thickBot="1" x14ac:dyDescent="0.3">
      <c r="T136" s="9"/>
      <c r="U136" s="51"/>
      <c r="V136" s="43"/>
      <c r="W136" s="43"/>
      <c r="X136" s="43"/>
      <c r="Y136" s="43"/>
      <c r="Z136" s="43"/>
    </row>
    <row r="137" spans="20:26" ht="16.5" thickTop="1" thickBot="1" x14ac:dyDescent="0.3">
      <c r="T137" s="9"/>
      <c r="U137" s="51"/>
      <c r="V137" s="43"/>
      <c r="W137" s="43"/>
      <c r="X137" s="43"/>
      <c r="Y137" s="43"/>
      <c r="Z137" s="43"/>
    </row>
    <row r="138" spans="20:26" ht="16.5" thickTop="1" thickBot="1" x14ac:dyDescent="0.3">
      <c r="T138" s="9"/>
      <c r="U138" s="51"/>
      <c r="V138" s="43"/>
      <c r="W138" s="43"/>
      <c r="X138" s="43"/>
      <c r="Y138" s="43"/>
      <c r="Z138" s="43"/>
    </row>
    <row r="139" spans="20:26" ht="16.5" thickTop="1" thickBot="1" x14ac:dyDescent="0.3">
      <c r="T139" s="9"/>
      <c r="U139" s="51"/>
      <c r="V139" s="43"/>
      <c r="W139" s="43"/>
      <c r="X139" s="43"/>
      <c r="Y139" s="43"/>
      <c r="Z139" s="43"/>
    </row>
    <row r="140" spans="20:26" ht="16.5" thickTop="1" thickBot="1" x14ac:dyDescent="0.3">
      <c r="T140" s="9"/>
      <c r="U140" s="51"/>
      <c r="V140" s="43"/>
      <c r="W140" s="43"/>
      <c r="X140" s="43"/>
      <c r="Y140" s="43"/>
      <c r="Z140" s="43"/>
    </row>
    <row r="141" spans="20:26" ht="16.5" thickTop="1" thickBot="1" x14ac:dyDescent="0.3">
      <c r="T141" s="9"/>
      <c r="U141" s="51"/>
      <c r="V141" s="43"/>
      <c r="W141" s="43"/>
      <c r="X141" s="43"/>
      <c r="Y141" s="43"/>
      <c r="Z141" s="43"/>
    </row>
    <row r="142" spans="20:26" ht="16.5" thickTop="1" thickBot="1" x14ac:dyDescent="0.3">
      <c r="T142" s="9"/>
      <c r="U142" s="51"/>
      <c r="V142" s="43"/>
      <c r="W142" s="43"/>
      <c r="X142" s="43"/>
      <c r="Y142" s="43"/>
      <c r="Z142" s="43"/>
    </row>
    <row r="143" spans="20:26" ht="16.5" thickTop="1" thickBot="1" x14ac:dyDescent="0.3">
      <c r="T143" s="9"/>
      <c r="U143" s="51"/>
      <c r="V143" s="43"/>
      <c r="W143" s="43"/>
      <c r="X143" s="43"/>
      <c r="Y143" s="43"/>
      <c r="Z143" s="43"/>
    </row>
    <row r="144" spans="20:26" ht="16.5" thickTop="1" thickBot="1" x14ac:dyDescent="0.3">
      <c r="T144" s="9"/>
      <c r="U144" s="51"/>
      <c r="V144" s="43"/>
      <c r="W144" s="43"/>
      <c r="X144" s="43"/>
      <c r="Y144" s="43"/>
      <c r="Z144" s="43"/>
    </row>
    <row r="145" spans="20:26" ht="16.5" thickTop="1" thickBot="1" x14ac:dyDescent="0.3">
      <c r="T145" s="9"/>
      <c r="U145" s="51"/>
      <c r="V145" s="43"/>
      <c r="W145" s="43"/>
      <c r="X145" s="43"/>
      <c r="Y145" s="43"/>
      <c r="Z145" s="43"/>
    </row>
    <row r="146" spans="20:26" ht="16.5" thickTop="1" thickBot="1" x14ac:dyDescent="0.3">
      <c r="T146" s="9"/>
      <c r="U146" s="51"/>
      <c r="V146" s="43"/>
      <c r="W146" s="43"/>
      <c r="X146" s="43"/>
      <c r="Y146" s="43"/>
      <c r="Z146" s="43"/>
    </row>
    <row r="147" spans="20:26" ht="16.5" thickTop="1" thickBot="1" x14ac:dyDescent="0.3">
      <c r="T147" s="9"/>
      <c r="U147" s="51"/>
      <c r="V147" s="43"/>
      <c r="W147" s="43"/>
      <c r="X147" s="43"/>
      <c r="Y147" s="43"/>
      <c r="Z147" s="43"/>
    </row>
    <row r="148" spans="20:26" ht="16.5" thickTop="1" thickBot="1" x14ac:dyDescent="0.3">
      <c r="T148" s="9"/>
      <c r="U148" s="51"/>
      <c r="V148" s="43"/>
      <c r="W148" s="43"/>
      <c r="X148" s="43"/>
      <c r="Y148" s="43"/>
      <c r="Z148" s="43"/>
    </row>
    <row r="149" spans="20:26" ht="16.5" thickTop="1" thickBot="1" x14ac:dyDescent="0.3">
      <c r="T149" s="9"/>
      <c r="U149" s="51"/>
      <c r="V149" s="43"/>
      <c r="W149" s="43"/>
      <c r="X149" s="43"/>
      <c r="Y149" s="43"/>
      <c r="Z149" s="43"/>
    </row>
    <row r="150" spans="20:26" ht="16.5" thickTop="1" thickBot="1" x14ac:dyDescent="0.3">
      <c r="T150" s="9"/>
      <c r="U150" s="51"/>
      <c r="V150" s="43"/>
      <c r="W150" s="43"/>
      <c r="X150" s="43"/>
      <c r="Y150" s="43"/>
      <c r="Z150" s="43"/>
    </row>
    <row r="151" spans="20:26" ht="16.5" thickTop="1" thickBot="1" x14ac:dyDescent="0.3">
      <c r="T151" s="9"/>
      <c r="U151" s="51"/>
      <c r="V151" s="43"/>
      <c r="W151" s="43"/>
      <c r="X151" s="43"/>
      <c r="Y151" s="43"/>
      <c r="Z151" s="43"/>
    </row>
    <row r="152" spans="20:26" ht="16.5" thickTop="1" thickBot="1" x14ac:dyDescent="0.3">
      <c r="T152" s="9"/>
      <c r="U152" s="51"/>
      <c r="V152" s="43"/>
      <c r="W152" s="43"/>
      <c r="X152" s="43"/>
      <c r="Y152" s="43"/>
      <c r="Z152" s="43"/>
    </row>
    <row r="153" spans="20:26" ht="16.5" thickTop="1" thickBot="1" x14ac:dyDescent="0.3">
      <c r="T153" s="9"/>
      <c r="U153" s="51"/>
      <c r="V153" s="43"/>
      <c r="W153" s="43"/>
      <c r="X153" s="43"/>
      <c r="Y153" s="43"/>
      <c r="Z153" s="43"/>
    </row>
    <row r="154" spans="20:26" ht="16.5" thickTop="1" thickBot="1" x14ac:dyDescent="0.3">
      <c r="T154" s="9"/>
      <c r="U154" s="51"/>
      <c r="V154" s="43"/>
      <c r="W154" s="43"/>
      <c r="X154" s="43"/>
      <c r="Y154" s="43"/>
      <c r="Z154" s="43"/>
    </row>
    <row r="155" spans="20:26" ht="16.5" thickTop="1" thickBot="1" x14ac:dyDescent="0.3">
      <c r="T155" s="9"/>
      <c r="U155" s="51"/>
      <c r="V155" s="43"/>
      <c r="W155" s="43"/>
      <c r="X155" s="43"/>
      <c r="Y155" s="43"/>
      <c r="Z155" s="43"/>
    </row>
    <row r="156" spans="20:26" ht="16.5" thickTop="1" thickBot="1" x14ac:dyDescent="0.3">
      <c r="T156" s="9"/>
      <c r="U156" s="51"/>
      <c r="V156" s="43"/>
      <c r="W156" s="43"/>
      <c r="X156" s="43"/>
      <c r="Y156" s="43"/>
      <c r="Z156" s="43"/>
    </row>
    <row r="157" spans="20:26" ht="16.5" thickTop="1" thickBot="1" x14ac:dyDescent="0.3">
      <c r="T157" s="9"/>
      <c r="U157" s="51"/>
      <c r="V157" s="43"/>
      <c r="W157" s="43"/>
      <c r="X157" s="43"/>
      <c r="Y157" s="43"/>
      <c r="Z157" s="43"/>
    </row>
    <row r="158" spans="20:26" ht="16.5" thickTop="1" thickBot="1" x14ac:dyDescent="0.3">
      <c r="T158" s="9"/>
      <c r="U158" s="51"/>
      <c r="V158" s="43"/>
      <c r="W158" s="43"/>
      <c r="X158" s="43"/>
      <c r="Y158" s="43"/>
      <c r="Z158" s="43"/>
    </row>
    <row r="159" spans="20:26" ht="16.5" thickTop="1" thickBot="1" x14ac:dyDescent="0.3">
      <c r="T159" s="9"/>
      <c r="U159" s="51"/>
      <c r="V159" s="43"/>
      <c r="W159" s="43"/>
      <c r="X159" s="43"/>
      <c r="Y159" s="43"/>
      <c r="Z159" s="43"/>
    </row>
    <row r="160" spans="20:26" ht="16.5" thickTop="1" thickBot="1" x14ac:dyDescent="0.3">
      <c r="T160" s="9"/>
      <c r="U160" s="51"/>
      <c r="V160" s="43"/>
      <c r="W160" s="43"/>
      <c r="X160" s="43"/>
      <c r="Y160" s="43"/>
      <c r="Z160" s="43"/>
    </row>
    <row r="161" spans="20:26" ht="16.5" thickTop="1" thickBot="1" x14ac:dyDescent="0.3">
      <c r="T161" s="9"/>
      <c r="U161" s="51"/>
      <c r="V161" s="43"/>
      <c r="W161" s="43"/>
      <c r="X161" s="43"/>
      <c r="Y161" s="43"/>
      <c r="Z161" s="43"/>
    </row>
    <row r="162" spans="20:26" ht="16.5" thickTop="1" thickBot="1" x14ac:dyDescent="0.3">
      <c r="T162" s="9"/>
      <c r="U162" s="51"/>
      <c r="V162" s="43"/>
      <c r="W162" s="43"/>
      <c r="X162" s="43"/>
      <c r="Y162" s="43"/>
      <c r="Z162" s="43"/>
    </row>
    <row r="163" spans="20:26" ht="16.5" thickTop="1" thickBot="1" x14ac:dyDescent="0.3">
      <c r="T163" s="9"/>
      <c r="U163" s="51"/>
      <c r="V163" s="43"/>
      <c r="W163" s="43"/>
      <c r="X163" s="43"/>
      <c r="Y163" s="43"/>
      <c r="Z163" s="43"/>
    </row>
    <row r="164" spans="20:26" ht="16.5" thickTop="1" thickBot="1" x14ac:dyDescent="0.3">
      <c r="T164" s="9"/>
      <c r="U164" s="51"/>
      <c r="V164" s="43"/>
      <c r="W164" s="43"/>
      <c r="X164" s="43"/>
      <c r="Y164" s="43"/>
      <c r="Z164" s="43"/>
    </row>
    <row r="165" spans="20:26" ht="16.5" thickTop="1" thickBot="1" x14ac:dyDescent="0.3">
      <c r="T165" s="9"/>
      <c r="U165" s="51"/>
      <c r="V165" s="43"/>
      <c r="W165" s="43"/>
      <c r="X165" s="43"/>
      <c r="Y165" s="43"/>
      <c r="Z165" s="43"/>
    </row>
    <row r="166" spans="20:26" ht="16.5" thickTop="1" thickBot="1" x14ac:dyDescent="0.3">
      <c r="T166" s="9"/>
      <c r="U166" s="51"/>
      <c r="V166" s="43"/>
      <c r="W166" s="43"/>
      <c r="X166" s="43"/>
      <c r="Y166" s="43"/>
      <c r="Z166" s="43"/>
    </row>
    <row r="167" spans="20:26" ht="16.5" thickTop="1" thickBot="1" x14ac:dyDescent="0.3">
      <c r="T167" s="9"/>
      <c r="U167" s="51"/>
      <c r="V167" s="43"/>
      <c r="W167" s="43"/>
      <c r="X167" s="43"/>
      <c r="Y167" s="43"/>
      <c r="Z167" s="43"/>
    </row>
    <row r="168" spans="20:26" ht="16.5" thickTop="1" thickBot="1" x14ac:dyDescent="0.3">
      <c r="T168" s="9"/>
      <c r="U168" s="51"/>
      <c r="V168" s="43"/>
      <c r="W168" s="43"/>
      <c r="X168" s="43"/>
      <c r="Y168" s="43"/>
      <c r="Z168" s="43"/>
    </row>
    <row r="169" spans="20:26" ht="16.5" thickTop="1" thickBot="1" x14ac:dyDescent="0.3">
      <c r="T169" s="9"/>
      <c r="U169" s="51"/>
      <c r="V169" s="43"/>
      <c r="W169" s="43"/>
      <c r="X169" s="43"/>
      <c r="Y169" s="43"/>
      <c r="Z169" s="43"/>
    </row>
    <row r="170" spans="20:26" ht="16.5" thickTop="1" thickBot="1" x14ac:dyDescent="0.3">
      <c r="T170" s="9"/>
      <c r="U170" s="51"/>
      <c r="V170" s="43"/>
      <c r="W170" s="43"/>
      <c r="X170" s="43"/>
      <c r="Y170" s="43"/>
      <c r="Z170" s="43"/>
    </row>
    <row r="171" spans="20:26" ht="16.5" thickTop="1" thickBot="1" x14ac:dyDescent="0.3">
      <c r="T171" s="9"/>
      <c r="U171" s="51"/>
      <c r="V171" s="43"/>
      <c r="W171" s="43"/>
      <c r="X171" s="43"/>
      <c r="Y171" s="43"/>
      <c r="Z171" s="43"/>
    </row>
    <row r="172" spans="20:26" ht="16.5" thickTop="1" thickBot="1" x14ac:dyDescent="0.3">
      <c r="T172" s="9"/>
      <c r="U172" s="51"/>
      <c r="V172" s="43"/>
      <c r="W172" s="43"/>
      <c r="X172" s="43"/>
      <c r="Y172" s="43"/>
      <c r="Z172" s="43"/>
    </row>
    <row r="173" spans="20:26" ht="16.5" thickTop="1" thickBot="1" x14ac:dyDescent="0.3">
      <c r="T173" s="9"/>
      <c r="U173" s="51"/>
      <c r="V173" s="43"/>
      <c r="W173" s="43"/>
      <c r="X173" s="43"/>
      <c r="Y173" s="43"/>
      <c r="Z173" s="43"/>
    </row>
    <row r="174" spans="20:26" ht="16.5" thickTop="1" thickBot="1" x14ac:dyDescent="0.3">
      <c r="T174" s="9"/>
      <c r="U174" s="51"/>
      <c r="V174" s="43"/>
      <c r="W174" s="43"/>
      <c r="X174" s="43"/>
      <c r="Y174" s="43"/>
      <c r="Z174" s="43"/>
    </row>
    <row r="175" spans="20:26" ht="16.5" thickTop="1" thickBot="1" x14ac:dyDescent="0.3">
      <c r="T175" s="9"/>
      <c r="U175" s="51"/>
      <c r="V175" s="43"/>
      <c r="W175" s="43"/>
      <c r="X175" s="43"/>
      <c r="Y175" s="43"/>
      <c r="Z175" s="43"/>
    </row>
    <row r="176" spans="20:26" ht="16.5" thickTop="1" thickBot="1" x14ac:dyDescent="0.3">
      <c r="T176" s="9"/>
      <c r="U176" s="51"/>
      <c r="V176" s="43"/>
      <c r="W176" s="43"/>
      <c r="X176" s="43"/>
      <c r="Y176" s="43"/>
      <c r="Z176" s="43"/>
    </row>
    <row r="177" spans="20:27" ht="16.5" thickTop="1" thickBot="1" x14ac:dyDescent="0.3">
      <c r="T177" s="9"/>
      <c r="U177" s="51"/>
      <c r="V177" s="43"/>
      <c r="W177" s="43"/>
      <c r="X177" s="43"/>
      <c r="Y177" s="43"/>
      <c r="Z177" s="43"/>
    </row>
    <row r="178" spans="20:27" ht="15.75" thickTop="1" x14ac:dyDescent="0.25">
      <c r="T178" s="9"/>
      <c r="U178" s="52"/>
      <c r="V178" s="53"/>
      <c r="W178" s="49"/>
      <c r="X178" s="53"/>
      <c r="Y178" s="49"/>
      <c r="Z178" s="54"/>
      <c r="AA178" s="8"/>
    </row>
    <row r="179" spans="20:27" x14ac:dyDescent="0.25">
      <c r="W179" s="55"/>
      <c r="Y179" s="3"/>
    </row>
    <row r="180" spans="20:27" x14ac:dyDescent="0.25">
      <c r="W180" s="21"/>
    </row>
  </sheetData>
  <sheetProtection sheet="1" objects="1" scenarios="1" formatCells="0"/>
  <autoFilter ref="C24:H24" xr:uid="{E3117FAC-9CCB-48DA-83E0-861FF330DE62}"/>
  <mergeCells count="10">
    <mergeCell ref="F5:I6"/>
    <mergeCell ref="G12:J13"/>
    <mergeCell ref="K24:N25"/>
    <mergeCell ref="O24:R25"/>
    <mergeCell ref="K32:N33"/>
    <mergeCell ref="O32:R33"/>
    <mergeCell ref="K26:N27"/>
    <mergeCell ref="O26:R27"/>
    <mergeCell ref="K28:N29"/>
    <mergeCell ref="O28:R29"/>
  </mergeCells>
  <conditionalFormatting sqref="H25:H117 U25:Z178">
    <cfRule type="cellIs" dxfId="1" priority="3" operator="equal">
      <formula>"CONCLUÍDO"</formula>
    </cfRule>
    <cfRule type="cellIs" dxfId="0" priority="4" operator="equal">
      <formula>"PENDENTE"</formula>
    </cfRule>
  </conditionalFormatting>
  <dataValidations count="8">
    <dataValidation type="date" allowBlank="1" showInputMessage="1" showErrorMessage="1" sqref="D25:D117 V25:V178" xr:uid="{751203F9-FD57-4E98-9AB2-B858316861E3}">
      <formula1>46054</formula1>
      <formula2>73051</formula2>
    </dataValidation>
    <dataValidation type="list" showInputMessage="1" showErrorMessage="1" errorTitle="Valor inválido ou em branco" error="Digite ou selecione um valor que esteja entre (Concluído,Pendente)" sqref="H25:H117 Z25:Z178" xr:uid="{BF2656C5-66BA-4137-BFFD-F3A8976904AE}">
      <formula1>"Pendente,Concluído"</formula1>
    </dataValidation>
    <dataValidation type="date" showInputMessage="1" showErrorMessage="1" errorTitle="Valor inválido ou em branco." error="Digite um valor no formato de data Brasileiro _x000a_Exemplo: DD/MM/YYYY" sqref="C25:C117 U25:U178" xr:uid="{02C61D18-33DA-49DA-A8FB-BE9EBD8422EC}">
      <formula1>46054</formula1>
      <formula2>73051</formula2>
    </dataValidation>
    <dataValidation type="decimal" showInputMessage="1" showErrorMessage="1" errorTitle="Valor em Branco ou Inválido " error="Digite um valor em Reais." sqref="G25:G117 Y25:Y178" xr:uid="{7532C3A8-C398-40F4-B313-92CF35258B1A}">
      <formula1>0.01</formula1>
      <formula2>1000000000</formula2>
    </dataValidation>
    <dataValidation type="decimal" showInputMessage="1" showErrorMessage="1" errorTitle="Valor em branco ou Inválido " error="Digite um valor em formato decimal._x000a_Exemplo: 10,00" sqref="O24:R25" xr:uid="{F2BCB455-A0F3-467A-A390-B9619A592B4D}">
      <formula1>-10000000</formula1>
      <formula2>1000000000000000</formula2>
    </dataValidation>
    <dataValidation type="list" showInputMessage="1" showErrorMessage="1" errorTitle="Valor em branco ou Inválido" error="Selecione ou digite um valor entre (Gasto Fixo,Gasto Variavel,Profissional,Hobbys)" sqref="F25:F117" xr:uid="{75FD9404-CC79-402A-AE80-C3DA91269C38}">
      <formula1>"Gasto Fixo,Gasto Variavel,Profissional,Hobbys,Investimento,Cofrinho"</formula1>
    </dataValidation>
    <dataValidation type="list" showInputMessage="1" showErrorMessage="1" errorTitle="Valor em branco ou Inválido" error="Selecione ou digite um valor entre (Gasto Fixo,Gasto Variavel,Profissional,Hobbys)" sqref="X25:X178" xr:uid="{421E5402-E3F8-4A57-A1E1-D0EC8EF4FA78}">
      <formula1>"Salários,Dividendos,Freelance,Vendas/Extras,Reembolso"</formula1>
    </dataValidation>
    <dataValidation type="decimal" allowBlank="1" showInputMessage="1" showErrorMessage="1" errorTitle="Valor Inválido " error="Digite um número decimal para representar valor em real. ex: 10,50" sqref="O32:R33" xr:uid="{FEF0C4EF-F031-43C9-A5BB-10F00BA8EC05}">
      <formula1>0</formula1>
      <formula2>1E+41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EDF7-7799-41C1-92A6-4242939A8090}">
  <sheetPr codeName="Planilha2"/>
  <dimension ref="B4:E40"/>
  <sheetViews>
    <sheetView showGridLines="0" topLeftCell="A7" workbookViewId="0"/>
  </sheetViews>
  <sheetFormatPr defaultRowHeight="15" x14ac:dyDescent="0.25"/>
  <cols>
    <col min="2" max="2" width="11.140625" customWidth="1"/>
    <col min="3" max="3" width="9.7109375" customWidth="1"/>
    <col min="4" max="4" width="10.140625" customWidth="1"/>
  </cols>
  <sheetData>
    <row r="4" spans="2:5" ht="15.75" thickBot="1" x14ac:dyDescent="0.3"/>
    <row r="5" spans="2:5" x14ac:dyDescent="0.25">
      <c r="B5" s="1" t="s">
        <v>29</v>
      </c>
      <c r="C5" s="1" t="s">
        <v>30</v>
      </c>
      <c r="D5" s="1" t="s">
        <v>31</v>
      </c>
      <c r="E5" s="1" t="s">
        <v>32</v>
      </c>
    </row>
    <row r="6" spans="2:5" x14ac:dyDescent="0.25">
      <c r="B6" s="2">
        <v>46023</v>
      </c>
      <c r="C6">
        <f>SUMIFS('Fluxo de Caixa'!Y:Y, 'Fluxo de Caixa'!Z:Z, "Conclu*", 'Fluxo de Caixa'!V:V, "&gt;="&amp;B6, 'Fluxo de Caixa'!V:V, "&lt;"&amp;EDATE(B6,1))</f>
        <v>0</v>
      </c>
      <c r="D6">
        <f>SUMIFS('Fluxo de Caixa'!G:G, 'Fluxo de Caixa'!H:H, "Conclu*", 'Fluxo de Caixa'!D:D, "&gt;="&amp;B6, 'Fluxo de Caixa'!D:D, "&lt;"&amp;EDATE(B6,1))</f>
        <v>0</v>
      </c>
      <c r="E6">
        <f>C6-D6</f>
        <v>0</v>
      </c>
    </row>
    <row r="7" spans="2:5" x14ac:dyDescent="0.25">
      <c r="B7" s="2">
        <v>46054</v>
      </c>
      <c r="C7">
        <f>SUMIFS('Fluxo de Caixa'!Y:Y, 'Fluxo de Caixa'!Z:Z, "Conclu*", 'Fluxo de Caixa'!V:V, "&gt;="&amp;B7, 'Fluxo de Caixa'!V:V, "&lt;"&amp;EDATE(B7,1))</f>
        <v>1356.38</v>
      </c>
      <c r="D7">
        <f>SUMIFS('Fluxo de Caixa'!G:G, 'Fluxo de Caixa'!H:H, "Conclu*", 'Fluxo de Caixa'!D:D, "&gt;="&amp;B7, 'Fluxo de Caixa'!D:D, "&lt;"&amp;EDATE(B7,1))</f>
        <v>3242.4900000000007</v>
      </c>
      <c r="E7">
        <f t="shared" ref="E7:E29" si="0">C7-D7</f>
        <v>-1886.1100000000006</v>
      </c>
    </row>
    <row r="8" spans="2:5" x14ac:dyDescent="0.25">
      <c r="B8" s="2">
        <v>46082</v>
      </c>
      <c r="C8">
        <f>SUMIFS('Fluxo de Caixa'!Y:Y, 'Fluxo de Caixa'!Z:Z, "Conclu*", 'Fluxo de Caixa'!V:V, "&gt;="&amp;B8, 'Fluxo de Caixa'!V:V, "&lt;"&amp;EDATE(B8,1))</f>
        <v>0</v>
      </c>
      <c r="D8">
        <f>SUMIFS('Fluxo de Caixa'!G:G, 'Fluxo de Caixa'!H:H, "Conclu*", 'Fluxo de Caixa'!D:D, "&gt;="&amp;B8, 'Fluxo de Caixa'!D:D, "&lt;"&amp;EDATE(B8,1))</f>
        <v>0</v>
      </c>
      <c r="E8">
        <f t="shared" si="0"/>
        <v>0</v>
      </c>
    </row>
    <row r="9" spans="2:5" x14ac:dyDescent="0.25">
      <c r="B9" s="2">
        <v>46113</v>
      </c>
      <c r="C9">
        <f>SUMIFS('Fluxo de Caixa'!Y:Y, 'Fluxo de Caixa'!Z:Z, "Conclu*", 'Fluxo de Caixa'!V:V, "&gt;="&amp;B9, 'Fluxo de Caixa'!V:V, "&lt;"&amp;EDATE(B9,1))</f>
        <v>0</v>
      </c>
      <c r="D9">
        <f>SUMIFS('Fluxo de Caixa'!G:G, 'Fluxo de Caixa'!H:H, "Conclu*", 'Fluxo de Caixa'!D:D, "&gt;="&amp;B9, 'Fluxo de Caixa'!D:D, "&lt;"&amp;EDATE(B9,1))</f>
        <v>0</v>
      </c>
      <c r="E9">
        <f t="shared" si="0"/>
        <v>0</v>
      </c>
    </row>
    <row r="10" spans="2:5" x14ac:dyDescent="0.25">
      <c r="B10" s="2">
        <v>46143</v>
      </c>
      <c r="C10">
        <f>SUMIFS('Fluxo de Caixa'!Y:Y, 'Fluxo de Caixa'!Z:Z, "Conclu*", 'Fluxo de Caixa'!V:V, "&gt;="&amp;B10, 'Fluxo de Caixa'!V:V, "&lt;"&amp;EDATE(B10,1))</f>
        <v>0</v>
      </c>
      <c r="D10">
        <f>SUMIFS('Fluxo de Caixa'!G:G, 'Fluxo de Caixa'!H:H, "Conclu*", 'Fluxo de Caixa'!D:D, "&gt;="&amp;B10, 'Fluxo de Caixa'!D:D, "&lt;"&amp;EDATE(B10,1))</f>
        <v>0</v>
      </c>
      <c r="E10">
        <f t="shared" si="0"/>
        <v>0</v>
      </c>
    </row>
    <row r="11" spans="2:5" x14ac:dyDescent="0.25">
      <c r="B11" s="2">
        <v>46174</v>
      </c>
      <c r="C11">
        <f>SUMIFS('Fluxo de Caixa'!Y:Y, 'Fluxo de Caixa'!Z:Z, "Conclu*", 'Fluxo de Caixa'!V:V, "&gt;="&amp;B11, 'Fluxo de Caixa'!V:V, "&lt;"&amp;EDATE(B11,1))</f>
        <v>0</v>
      </c>
      <c r="D11">
        <f>SUMIFS('Fluxo de Caixa'!G:G, 'Fluxo de Caixa'!H:H, "Conclu*", 'Fluxo de Caixa'!D:D, "&gt;="&amp;B11, 'Fluxo de Caixa'!D:D, "&lt;"&amp;EDATE(B11,1))</f>
        <v>0</v>
      </c>
      <c r="E11">
        <f t="shared" si="0"/>
        <v>0</v>
      </c>
    </row>
    <row r="12" spans="2:5" x14ac:dyDescent="0.25">
      <c r="B12" s="2">
        <v>46204</v>
      </c>
      <c r="C12">
        <f>SUMIFS('Fluxo de Caixa'!Y:Y, 'Fluxo de Caixa'!Z:Z, "Conclu*", 'Fluxo de Caixa'!V:V, "&gt;="&amp;B12, 'Fluxo de Caixa'!V:V, "&lt;"&amp;EDATE(B12,1))</f>
        <v>0</v>
      </c>
      <c r="D12">
        <f>SUMIFS('Fluxo de Caixa'!G:G, 'Fluxo de Caixa'!H:H, "Conclu*", 'Fluxo de Caixa'!D:D, "&gt;="&amp;B12, 'Fluxo de Caixa'!D:D, "&lt;"&amp;EDATE(B12,1))</f>
        <v>0</v>
      </c>
      <c r="E12">
        <f t="shared" si="0"/>
        <v>0</v>
      </c>
    </row>
    <row r="13" spans="2:5" x14ac:dyDescent="0.25">
      <c r="B13" s="2">
        <v>46235</v>
      </c>
      <c r="C13">
        <f>SUMIFS('Fluxo de Caixa'!Y:Y, 'Fluxo de Caixa'!Z:Z, "Conclu*", 'Fluxo de Caixa'!V:V, "&gt;="&amp;B13, 'Fluxo de Caixa'!V:V, "&lt;"&amp;EDATE(B13,1))</f>
        <v>0</v>
      </c>
      <c r="D13">
        <f>SUMIFS('Fluxo de Caixa'!G:G, 'Fluxo de Caixa'!H:H, "Conclu*", 'Fluxo de Caixa'!D:D, "&gt;="&amp;B13, 'Fluxo de Caixa'!D:D, "&lt;"&amp;EDATE(B13,1))</f>
        <v>0</v>
      </c>
      <c r="E13">
        <f t="shared" si="0"/>
        <v>0</v>
      </c>
    </row>
    <row r="14" spans="2:5" x14ac:dyDescent="0.25">
      <c r="B14" s="2">
        <v>46266</v>
      </c>
      <c r="C14">
        <f>SUMIFS('Fluxo de Caixa'!Y:Y, 'Fluxo de Caixa'!Z:Z, "Conclu*", 'Fluxo de Caixa'!V:V, "&gt;="&amp;B14, 'Fluxo de Caixa'!V:V, "&lt;"&amp;EDATE(B14,1))</f>
        <v>0</v>
      </c>
      <c r="D14">
        <f>SUMIFS('Fluxo de Caixa'!G:G, 'Fluxo de Caixa'!H:H, "Conclu*", 'Fluxo de Caixa'!D:D, "&gt;="&amp;B14, 'Fluxo de Caixa'!D:D, "&lt;"&amp;EDATE(B14,1))</f>
        <v>0</v>
      </c>
      <c r="E14">
        <f t="shared" si="0"/>
        <v>0</v>
      </c>
    </row>
    <row r="15" spans="2:5" x14ac:dyDescent="0.25">
      <c r="B15" s="2">
        <v>46296</v>
      </c>
      <c r="C15">
        <f>SUMIFS('Fluxo de Caixa'!Y:Y, 'Fluxo de Caixa'!Z:Z, "Conclu*", 'Fluxo de Caixa'!V:V, "&gt;="&amp;B15, 'Fluxo de Caixa'!V:V, "&lt;"&amp;EDATE(B15,1))</f>
        <v>0</v>
      </c>
      <c r="D15">
        <f>SUMIFS('Fluxo de Caixa'!G:G, 'Fluxo de Caixa'!H:H, "Conclu*", 'Fluxo de Caixa'!D:D, "&gt;="&amp;B15, 'Fluxo de Caixa'!D:D, "&lt;"&amp;EDATE(B15,1))</f>
        <v>0</v>
      </c>
      <c r="E15">
        <f t="shared" si="0"/>
        <v>0</v>
      </c>
    </row>
    <row r="16" spans="2:5" x14ac:dyDescent="0.25">
      <c r="B16" s="2">
        <v>46327</v>
      </c>
      <c r="C16">
        <f>SUMIFS('Fluxo de Caixa'!Y:Y, 'Fluxo de Caixa'!Z:Z, "Conclu*", 'Fluxo de Caixa'!V:V, "&gt;="&amp;B16, 'Fluxo de Caixa'!V:V, "&lt;"&amp;EDATE(B16,1))</f>
        <v>0</v>
      </c>
      <c r="D16">
        <f>SUMIFS('Fluxo de Caixa'!G:G, 'Fluxo de Caixa'!H:H, "Conclu*", 'Fluxo de Caixa'!D:D, "&gt;="&amp;B16, 'Fluxo de Caixa'!D:D, "&lt;"&amp;EDATE(B16,1))</f>
        <v>0</v>
      </c>
      <c r="E16">
        <f t="shared" si="0"/>
        <v>0</v>
      </c>
    </row>
    <row r="17" spans="2:5" x14ac:dyDescent="0.25">
      <c r="B17" s="2">
        <v>46357</v>
      </c>
      <c r="C17">
        <f>SUMIFS('Fluxo de Caixa'!Y:Y, 'Fluxo de Caixa'!Z:Z, "Conclu*", 'Fluxo de Caixa'!V:V, "&gt;="&amp;B17, 'Fluxo de Caixa'!V:V, "&lt;"&amp;EDATE(B17,1))</f>
        <v>0</v>
      </c>
      <c r="D17">
        <f>SUMIFS('Fluxo de Caixa'!G:G, 'Fluxo de Caixa'!H:H, "Conclu*", 'Fluxo de Caixa'!D:D, "&gt;="&amp;B17, 'Fluxo de Caixa'!D:D, "&lt;"&amp;EDATE(B17,1))</f>
        <v>0</v>
      </c>
      <c r="E17">
        <f t="shared" si="0"/>
        <v>0</v>
      </c>
    </row>
    <row r="18" spans="2:5" x14ac:dyDescent="0.25">
      <c r="B18" s="2">
        <v>46388</v>
      </c>
      <c r="C18">
        <f>SUMIFS('Fluxo de Caixa'!Y:Y, 'Fluxo de Caixa'!Z:Z, "Conclu*", 'Fluxo de Caixa'!V:V, "&gt;="&amp;B18, 'Fluxo de Caixa'!V:V, "&lt;"&amp;EDATE(B18,1))</f>
        <v>0</v>
      </c>
      <c r="D18">
        <f>SUMIFS('Fluxo de Caixa'!G:G, 'Fluxo de Caixa'!H:H, "Conclu*", 'Fluxo de Caixa'!D:D, "&gt;="&amp;B18, 'Fluxo de Caixa'!D:D, "&lt;"&amp;EDATE(B18,1))</f>
        <v>0</v>
      </c>
      <c r="E18">
        <f t="shared" si="0"/>
        <v>0</v>
      </c>
    </row>
    <row r="19" spans="2:5" x14ac:dyDescent="0.25">
      <c r="B19" s="2">
        <v>46419</v>
      </c>
      <c r="C19">
        <f>SUMIFS('Fluxo de Caixa'!Y:Y, 'Fluxo de Caixa'!Z:Z, "Conclu*", 'Fluxo de Caixa'!V:V, "&gt;="&amp;B19, 'Fluxo de Caixa'!V:V, "&lt;"&amp;EDATE(B19,1))</f>
        <v>0</v>
      </c>
      <c r="D19">
        <f>SUMIFS('Fluxo de Caixa'!G:G, 'Fluxo de Caixa'!H:H, "Conclu*", 'Fluxo de Caixa'!D:D, "&gt;="&amp;B19, 'Fluxo de Caixa'!D:D, "&lt;"&amp;EDATE(B19,1))</f>
        <v>0</v>
      </c>
      <c r="E19">
        <f t="shared" si="0"/>
        <v>0</v>
      </c>
    </row>
    <row r="20" spans="2:5" x14ac:dyDescent="0.25">
      <c r="B20" s="2">
        <v>46447</v>
      </c>
      <c r="C20">
        <f>SUMIFS('Fluxo de Caixa'!Y:Y, 'Fluxo de Caixa'!Z:Z, "Conclu*", 'Fluxo de Caixa'!V:V, "&gt;="&amp;B20, 'Fluxo de Caixa'!V:V, "&lt;"&amp;EDATE(B20,1))</f>
        <v>0</v>
      </c>
      <c r="D20">
        <f>SUMIFS('Fluxo de Caixa'!G:G, 'Fluxo de Caixa'!H:H, "Conclu*", 'Fluxo de Caixa'!D:D, "&gt;="&amp;B20, 'Fluxo de Caixa'!D:D, "&lt;"&amp;EDATE(B20,1))</f>
        <v>0</v>
      </c>
      <c r="E20">
        <f t="shared" si="0"/>
        <v>0</v>
      </c>
    </row>
    <row r="21" spans="2:5" x14ac:dyDescent="0.25">
      <c r="B21" s="2">
        <v>46478</v>
      </c>
      <c r="C21">
        <f>SUMIFS('Fluxo de Caixa'!Y:Y, 'Fluxo de Caixa'!Z:Z, "Conclu*", 'Fluxo de Caixa'!V:V, "&gt;="&amp;B21, 'Fluxo de Caixa'!V:V, "&lt;"&amp;EDATE(B21,1))</f>
        <v>0</v>
      </c>
      <c r="D21">
        <f>SUMIFS('Fluxo de Caixa'!G:G, 'Fluxo de Caixa'!H:H, "Conclu*", 'Fluxo de Caixa'!D:D, "&gt;="&amp;B21, 'Fluxo de Caixa'!D:D, "&lt;"&amp;EDATE(B21,1))</f>
        <v>0</v>
      </c>
      <c r="E21">
        <f t="shared" si="0"/>
        <v>0</v>
      </c>
    </row>
    <row r="22" spans="2:5" x14ac:dyDescent="0.25">
      <c r="B22" s="2">
        <v>46508</v>
      </c>
      <c r="C22">
        <f>SUMIFS('Fluxo de Caixa'!Y:Y, 'Fluxo de Caixa'!Z:Z, "Conclu*", 'Fluxo de Caixa'!V:V, "&gt;="&amp;B22, 'Fluxo de Caixa'!V:V, "&lt;"&amp;EDATE(B22,1))</f>
        <v>0</v>
      </c>
      <c r="D22">
        <f>SUMIFS('Fluxo de Caixa'!G:G, 'Fluxo de Caixa'!H:H, "Conclu*", 'Fluxo de Caixa'!D:D, "&gt;="&amp;B22, 'Fluxo de Caixa'!D:D, "&lt;"&amp;EDATE(B22,1))</f>
        <v>0</v>
      </c>
      <c r="E22">
        <f t="shared" si="0"/>
        <v>0</v>
      </c>
    </row>
    <row r="23" spans="2:5" x14ac:dyDescent="0.25">
      <c r="B23" s="2">
        <v>46539</v>
      </c>
      <c r="C23">
        <f>SUMIFS('Fluxo de Caixa'!Y:Y, 'Fluxo de Caixa'!Z:Z, "Conclu*", 'Fluxo de Caixa'!V:V, "&gt;="&amp;B23, 'Fluxo de Caixa'!V:V, "&lt;"&amp;EDATE(B23,1))</f>
        <v>0</v>
      </c>
      <c r="D23">
        <f>SUMIFS('Fluxo de Caixa'!G:G, 'Fluxo de Caixa'!H:H, "Conclu*", 'Fluxo de Caixa'!D:D, "&gt;="&amp;B23, 'Fluxo de Caixa'!D:D, "&lt;"&amp;EDATE(B23,1))</f>
        <v>0</v>
      </c>
      <c r="E23">
        <f t="shared" si="0"/>
        <v>0</v>
      </c>
    </row>
    <row r="24" spans="2:5" x14ac:dyDescent="0.25">
      <c r="B24" s="2">
        <v>46569</v>
      </c>
      <c r="C24">
        <f>SUMIFS('Fluxo de Caixa'!Y:Y, 'Fluxo de Caixa'!Z:Z, "Conclu*", 'Fluxo de Caixa'!V:V, "&gt;="&amp;B24, 'Fluxo de Caixa'!V:V, "&lt;"&amp;EDATE(B24,1))</f>
        <v>0</v>
      </c>
      <c r="D24">
        <f>SUMIFS('Fluxo de Caixa'!G:G, 'Fluxo de Caixa'!H:H, "Conclu*", 'Fluxo de Caixa'!D:D, "&gt;="&amp;B24, 'Fluxo de Caixa'!D:D, "&lt;"&amp;EDATE(B24,1))</f>
        <v>0</v>
      </c>
      <c r="E24">
        <f t="shared" si="0"/>
        <v>0</v>
      </c>
    </row>
    <row r="25" spans="2:5" x14ac:dyDescent="0.25">
      <c r="B25" s="2">
        <v>46600</v>
      </c>
      <c r="C25">
        <f>SUMIFS('Fluxo de Caixa'!Y:Y, 'Fluxo de Caixa'!Z:Z, "Conclu*", 'Fluxo de Caixa'!V:V, "&gt;="&amp;B25, 'Fluxo de Caixa'!V:V, "&lt;"&amp;EDATE(B25,1))</f>
        <v>0</v>
      </c>
      <c r="D25">
        <f>SUMIFS('Fluxo de Caixa'!G:G, 'Fluxo de Caixa'!H:H, "Conclu*", 'Fluxo de Caixa'!D:D, "&gt;="&amp;B25, 'Fluxo de Caixa'!D:D, "&lt;"&amp;EDATE(B25,1))</f>
        <v>0</v>
      </c>
      <c r="E25">
        <f t="shared" si="0"/>
        <v>0</v>
      </c>
    </row>
    <row r="26" spans="2:5" x14ac:dyDescent="0.25">
      <c r="B26" s="2">
        <v>46631</v>
      </c>
      <c r="C26">
        <f>SUMIFS('Fluxo de Caixa'!Y:Y, 'Fluxo de Caixa'!Z:Z, "Conclu*", 'Fluxo de Caixa'!V:V, "&gt;="&amp;B26, 'Fluxo de Caixa'!V:V, "&lt;"&amp;EDATE(B26,1))</f>
        <v>0</v>
      </c>
      <c r="D26">
        <f>SUMIFS('Fluxo de Caixa'!G:G, 'Fluxo de Caixa'!H:H, "Conclu*", 'Fluxo de Caixa'!D:D, "&gt;="&amp;B26, 'Fluxo de Caixa'!D:D, "&lt;"&amp;EDATE(B26,1))</f>
        <v>0</v>
      </c>
      <c r="E26">
        <f t="shared" si="0"/>
        <v>0</v>
      </c>
    </row>
    <row r="27" spans="2:5" x14ac:dyDescent="0.25">
      <c r="B27" s="2">
        <v>46661</v>
      </c>
      <c r="C27">
        <f>SUMIFS('Fluxo de Caixa'!Y:Y, 'Fluxo de Caixa'!Z:Z, "Conclu*", 'Fluxo de Caixa'!V:V, "&gt;="&amp;B27, 'Fluxo de Caixa'!V:V, "&lt;"&amp;EDATE(B27,1))</f>
        <v>0</v>
      </c>
      <c r="D27">
        <f>SUMIFS('Fluxo de Caixa'!G:G, 'Fluxo de Caixa'!H:H, "Conclu*", 'Fluxo de Caixa'!D:D, "&gt;="&amp;B27, 'Fluxo de Caixa'!D:D, "&lt;"&amp;EDATE(B27,1))</f>
        <v>0</v>
      </c>
      <c r="E27">
        <f t="shared" si="0"/>
        <v>0</v>
      </c>
    </row>
    <row r="28" spans="2:5" x14ac:dyDescent="0.25">
      <c r="B28" s="2">
        <v>46692</v>
      </c>
      <c r="C28">
        <f>SUMIFS('Fluxo de Caixa'!Y:Y, 'Fluxo de Caixa'!Z:Z, "Conclu*", 'Fluxo de Caixa'!V:V, "&gt;="&amp;B28, 'Fluxo de Caixa'!V:V, "&lt;"&amp;EDATE(B28,1))</f>
        <v>0</v>
      </c>
      <c r="D28">
        <f>SUMIFS('Fluxo de Caixa'!G:G, 'Fluxo de Caixa'!H:H, "Conclu*", 'Fluxo de Caixa'!D:D, "&gt;="&amp;B28, 'Fluxo de Caixa'!D:D, "&lt;"&amp;EDATE(B28,1))</f>
        <v>0</v>
      </c>
      <c r="E28">
        <f t="shared" si="0"/>
        <v>0</v>
      </c>
    </row>
    <row r="29" spans="2:5" x14ac:dyDescent="0.25">
      <c r="B29" s="2">
        <v>46722</v>
      </c>
      <c r="C29">
        <f>SUMIFS('Fluxo de Caixa'!Y:Y, 'Fluxo de Caixa'!Z:Z, "Conclu*", 'Fluxo de Caixa'!V:V, "&gt;="&amp;B29, 'Fluxo de Caixa'!V:V, "&lt;"&amp;EDATE(B29,1))</f>
        <v>0</v>
      </c>
      <c r="D29">
        <f>SUMIFS('Fluxo de Caixa'!G:G, 'Fluxo de Caixa'!H:H, "Conclu*", 'Fluxo de Caixa'!D:D, "&gt;="&amp;B29, 'Fluxo de Caixa'!D:D, "&lt;"&amp;EDATE(B29,1))</f>
        <v>0</v>
      </c>
      <c r="E29">
        <f t="shared" si="0"/>
        <v>0</v>
      </c>
    </row>
    <row r="30" spans="2:5" x14ac:dyDescent="0.25">
      <c r="B30" s="2"/>
    </row>
    <row r="31" spans="2:5" x14ac:dyDescent="0.25">
      <c r="B31" s="2"/>
    </row>
    <row r="32" spans="2:5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Fluxo de Caixa</vt:lpstr>
      <vt:lpstr>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Lima</dc:creator>
  <cp:lastModifiedBy>Lucas Lima</cp:lastModifiedBy>
  <dcterms:created xsi:type="dcterms:W3CDTF">2026-01-27T12:00:42Z</dcterms:created>
  <dcterms:modified xsi:type="dcterms:W3CDTF">2026-02-07T05:25:02Z</dcterms:modified>
</cp:coreProperties>
</file>